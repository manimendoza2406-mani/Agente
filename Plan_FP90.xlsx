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lfhn-my.sharepoint.com/personal/luigio_trejo_lufussa_com/Documents/Escritorio/Mantenimientos PV3 18W46/Informes IA/IA Planes 2026 al 2029/2- Corrida 2 01.10.2026/"/>
    </mc:Choice>
  </mc:AlternateContent>
  <xr:revisionPtr revIDLastSave="0" documentId="8_{B3AD426A-2A94-49EF-AAEC-674BC6B3C0E3}" xr6:coauthVersionLast="47" xr6:coauthVersionMax="47" xr10:uidLastSave="{00000000-0000-0000-0000-000000000000}"/>
  <bookViews>
    <workbookView xWindow="28680" yWindow="-120" windowWidth="29040" windowHeight="15720" xr2:uid="{C6A95B9C-06EE-4549-8A8B-E149658E7287}"/>
  </bookViews>
  <sheets>
    <sheet name="Plan_FP90" sheetId="1" r:id="rId1"/>
  </sheets>
  <externalReferences>
    <externalReference r:id="rId2"/>
  </externalReferences>
  <definedNames>
    <definedName name="_xlnm._FilterDatabase" localSheetId="0" hidden="1">Plan_FP90!$A$3:$N$321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21" i="1" l="1"/>
  <c r="J321" i="1"/>
  <c r="K321" i="1" s="1"/>
  <c r="M321" i="1" s="1"/>
  <c r="N320" i="1"/>
  <c r="J320" i="1"/>
  <c r="K320" i="1" s="1"/>
  <c r="M320" i="1" s="1"/>
  <c r="N319" i="1"/>
  <c r="J319" i="1"/>
  <c r="K319" i="1" s="1"/>
  <c r="M319" i="1" s="1"/>
  <c r="N318" i="1"/>
  <c r="J318" i="1"/>
  <c r="K318" i="1" s="1"/>
  <c r="M318" i="1" s="1"/>
  <c r="N317" i="1"/>
  <c r="J317" i="1"/>
  <c r="K317" i="1" s="1"/>
  <c r="M317" i="1" s="1"/>
  <c r="N316" i="1"/>
  <c r="J316" i="1"/>
  <c r="K316" i="1" s="1"/>
  <c r="M316" i="1" s="1"/>
  <c r="N315" i="1"/>
  <c r="J315" i="1"/>
  <c r="K315" i="1" s="1"/>
  <c r="M315" i="1" s="1"/>
  <c r="N314" i="1"/>
  <c r="J314" i="1"/>
  <c r="K314" i="1" s="1"/>
  <c r="M314" i="1" s="1"/>
  <c r="N313" i="1"/>
  <c r="J313" i="1"/>
  <c r="K313" i="1" s="1"/>
  <c r="M313" i="1" s="1"/>
  <c r="N312" i="1"/>
  <c r="J312" i="1"/>
  <c r="K312" i="1" s="1"/>
  <c r="M312" i="1" s="1"/>
  <c r="N311" i="1"/>
  <c r="J311" i="1"/>
  <c r="K311" i="1" s="1"/>
  <c r="M311" i="1" s="1"/>
  <c r="N310" i="1"/>
  <c r="J310" i="1"/>
  <c r="K310" i="1" s="1"/>
  <c r="M310" i="1" s="1"/>
  <c r="N309" i="1"/>
  <c r="J309" i="1"/>
  <c r="K309" i="1" s="1"/>
  <c r="M309" i="1" s="1"/>
  <c r="N308" i="1"/>
  <c r="J308" i="1"/>
  <c r="K308" i="1" s="1"/>
  <c r="M308" i="1" s="1"/>
  <c r="N307" i="1"/>
  <c r="J307" i="1"/>
  <c r="K307" i="1" s="1"/>
  <c r="M307" i="1" s="1"/>
  <c r="N306" i="1"/>
  <c r="J306" i="1"/>
  <c r="K306" i="1" s="1"/>
  <c r="M306" i="1" s="1"/>
  <c r="N305" i="1"/>
  <c r="J305" i="1"/>
  <c r="K305" i="1" s="1"/>
  <c r="M305" i="1" s="1"/>
  <c r="N304" i="1"/>
  <c r="J304" i="1"/>
  <c r="K304" i="1" s="1"/>
  <c r="M304" i="1" s="1"/>
  <c r="N303" i="1"/>
  <c r="J303" i="1"/>
  <c r="K303" i="1" s="1"/>
  <c r="M303" i="1" s="1"/>
  <c r="N302" i="1"/>
  <c r="J302" i="1"/>
  <c r="K302" i="1" s="1"/>
  <c r="M302" i="1" s="1"/>
  <c r="N301" i="1"/>
  <c r="J301" i="1"/>
  <c r="K301" i="1" s="1"/>
  <c r="M301" i="1" s="1"/>
  <c r="N300" i="1"/>
  <c r="J300" i="1"/>
  <c r="K300" i="1" s="1"/>
  <c r="M300" i="1" s="1"/>
  <c r="N299" i="1"/>
  <c r="J299" i="1"/>
  <c r="K299" i="1" s="1"/>
  <c r="M299" i="1" s="1"/>
  <c r="N298" i="1"/>
  <c r="J298" i="1"/>
  <c r="K298" i="1" s="1"/>
  <c r="M298" i="1" s="1"/>
  <c r="N297" i="1"/>
  <c r="J297" i="1"/>
  <c r="K297" i="1" s="1"/>
  <c r="M297" i="1" s="1"/>
  <c r="N296" i="1"/>
  <c r="J296" i="1"/>
  <c r="K296" i="1" s="1"/>
  <c r="M296" i="1" s="1"/>
  <c r="N295" i="1"/>
  <c r="J295" i="1"/>
  <c r="K295" i="1" s="1"/>
  <c r="M295" i="1" s="1"/>
  <c r="N294" i="1"/>
  <c r="J294" i="1"/>
  <c r="K294" i="1" s="1"/>
  <c r="M294" i="1" s="1"/>
  <c r="N293" i="1"/>
  <c r="J293" i="1"/>
  <c r="K293" i="1" s="1"/>
  <c r="M293" i="1" s="1"/>
  <c r="N292" i="1"/>
  <c r="J292" i="1"/>
  <c r="K292" i="1" s="1"/>
  <c r="M292" i="1" s="1"/>
  <c r="N291" i="1"/>
  <c r="J291" i="1"/>
  <c r="K291" i="1" s="1"/>
  <c r="M291" i="1" s="1"/>
  <c r="N290" i="1"/>
  <c r="J290" i="1"/>
  <c r="K290" i="1" s="1"/>
  <c r="M290" i="1" s="1"/>
  <c r="N289" i="1"/>
  <c r="J289" i="1"/>
  <c r="K289" i="1" s="1"/>
  <c r="M289" i="1" s="1"/>
  <c r="N288" i="1"/>
  <c r="J288" i="1"/>
  <c r="K288" i="1" s="1"/>
  <c r="M288" i="1" s="1"/>
  <c r="N287" i="1"/>
  <c r="J287" i="1"/>
  <c r="K287" i="1" s="1"/>
  <c r="M287" i="1" s="1"/>
  <c r="N286" i="1"/>
  <c r="J286" i="1"/>
  <c r="K286" i="1" s="1"/>
  <c r="M286" i="1" s="1"/>
  <c r="N285" i="1"/>
  <c r="J285" i="1"/>
  <c r="K285" i="1" s="1"/>
  <c r="M285" i="1" s="1"/>
  <c r="N284" i="1"/>
  <c r="J284" i="1"/>
  <c r="K284" i="1" s="1"/>
  <c r="M284" i="1" s="1"/>
  <c r="N283" i="1"/>
  <c r="J283" i="1"/>
  <c r="K283" i="1" s="1"/>
  <c r="M283" i="1" s="1"/>
  <c r="N282" i="1"/>
  <c r="J282" i="1"/>
  <c r="K282" i="1" s="1"/>
  <c r="M282" i="1" s="1"/>
  <c r="N281" i="1"/>
  <c r="J281" i="1"/>
  <c r="K281" i="1" s="1"/>
  <c r="M281" i="1" s="1"/>
  <c r="N280" i="1"/>
  <c r="J280" i="1"/>
  <c r="K280" i="1" s="1"/>
  <c r="M280" i="1" s="1"/>
  <c r="N279" i="1"/>
  <c r="J279" i="1"/>
  <c r="K279" i="1" s="1"/>
  <c r="M279" i="1" s="1"/>
  <c r="N278" i="1"/>
  <c r="J278" i="1"/>
  <c r="K278" i="1" s="1"/>
  <c r="M278" i="1" s="1"/>
  <c r="N277" i="1"/>
  <c r="J277" i="1"/>
  <c r="K277" i="1" s="1"/>
  <c r="M277" i="1" s="1"/>
  <c r="N276" i="1"/>
  <c r="J276" i="1"/>
  <c r="K276" i="1" s="1"/>
  <c r="M276" i="1" s="1"/>
  <c r="N275" i="1"/>
  <c r="J275" i="1"/>
  <c r="K275" i="1" s="1"/>
  <c r="M275" i="1" s="1"/>
  <c r="N274" i="1"/>
  <c r="J274" i="1"/>
  <c r="K274" i="1" s="1"/>
  <c r="M274" i="1" s="1"/>
  <c r="N273" i="1"/>
  <c r="J273" i="1"/>
  <c r="K273" i="1" s="1"/>
  <c r="M273" i="1" s="1"/>
  <c r="N272" i="1"/>
  <c r="J272" i="1"/>
  <c r="K272" i="1" s="1"/>
  <c r="M272" i="1" s="1"/>
  <c r="N271" i="1"/>
  <c r="J271" i="1"/>
  <c r="K271" i="1" s="1"/>
  <c r="M271" i="1" s="1"/>
  <c r="N270" i="1"/>
  <c r="J270" i="1"/>
  <c r="K270" i="1" s="1"/>
  <c r="M270" i="1" s="1"/>
  <c r="N269" i="1"/>
  <c r="J269" i="1"/>
  <c r="K269" i="1" s="1"/>
  <c r="M269" i="1" s="1"/>
  <c r="N268" i="1"/>
  <c r="J268" i="1"/>
  <c r="K268" i="1" s="1"/>
  <c r="M268" i="1" s="1"/>
  <c r="N267" i="1"/>
  <c r="J267" i="1"/>
  <c r="K267" i="1" s="1"/>
  <c r="M267" i="1" s="1"/>
  <c r="N266" i="1"/>
  <c r="J266" i="1"/>
  <c r="K266" i="1" s="1"/>
  <c r="M266" i="1" s="1"/>
  <c r="N265" i="1"/>
  <c r="J265" i="1"/>
  <c r="K265" i="1" s="1"/>
  <c r="M265" i="1" s="1"/>
  <c r="N264" i="1"/>
  <c r="J264" i="1"/>
  <c r="K264" i="1" s="1"/>
  <c r="M264" i="1" s="1"/>
  <c r="N263" i="1"/>
  <c r="J263" i="1"/>
  <c r="K263" i="1" s="1"/>
  <c r="M263" i="1" s="1"/>
  <c r="N262" i="1"/>
  <c r="J262" i="1"/>
  <c r="K262" i="1" s="1"/>
  <c r="M262" i="1" s="1"/>
  <c r="N261" i="1"/>
  <c r="J261" i="1"/>
  <c r="K261" i="1" s="1"/>
  <c r="M261" i="1" s="1"/>
  <c r="N260" i="1"/>
  <c r="J260" i="1"/>
  <c r="K260" i="1" s="1"/>
  <c r="M260" i="1" s="1"/>
  <c r="N259" i="1"/>
  <c r="J259" i="1"/>
  <c r="K259" i="1" s="1"/>
  <c r="M259" i="1" s="1"/>
  <c r="N258" i="1"/>
  <c r="J258" i="1"/>
  <c r="K258" i="1" s="1"/>
  <c r="M258" i="1" s="1"/>
  <c r="N257" i="1"/>
  <c r="J257" i="1"/>
  <c r="K257" i="1" s="1"/>
  <c r="M257" i="1" s="1"/>
  <c r="N256" i="1"/>
  <c r="J256" i="1"/>
  <c r="K256" i="1" s="1"/>
  <c r="M256" i="1" s="1"/>
  <c r="N255" i="1"/>
  <c r="J255" i="1"/>
  <c r="K255" i="1" s="1"/>
  <c r="M255" i="1" s="1"/>
  <c r="N254" i="1"/>
  <c r="J254" i="1"/>
  <c r="K254" i="1" s="1"/>
  <c r="M254" i="1" s="1"/>
  <c r="N253" i="1"/>
  <c r="J253" i="1"/>
  <c r="K253" i="1" s="1"/>
  <c r="M253" i="1" s="1"/>
  <c r="N252" i="1"/>
  <c r="J252" i="1"/>
  <c r="K252" i="1" s="1"/>
  <c r="M252" i="1" s="1"/>
  <c r="N251" i="1"/>
  <c r="J251" i="1"/>
  <c r="K251" i="1" s="1"/>
  <c r="M251" i="1" s="1"/>
  <c r="N250" i="1"/>
  <c r="J250" i="1"/>
  <c r="K250" i="1" s="1"/>
  <c r="M250" i="1" s="1"/>
  <c r="N249" i="1"/>
  <c r="J249" i="1"/>
  <c r="K249" i="1" s="1"/>
  <c r="M249" i="1" s="1"/>
  <c r="N248" i="1"/>
  <c r="J248" i="1"/>
  <c r="K248" i="1" s="1"/>
  <c r="M248" i="1" s="1"/>
  <c r="N247" i="1"/>
  <c r="J247" i="1"/>
  <c r="K247" i="1" s="1"/>
  <c r="M247" i="1" s="1"/>
  <c r="N246" i="1"/>
  <c r="J246" i="1"/>
  <c r="K246" i="1" s="1"/>
  <c r="M246" i="1" s="1"/>
  <c r="N245" i="1"/>
  <c r="J245" i="1"/>
  <c r="K245" i="1" s="1"/>
  <c r="M245" i="1" s="1"/>
  <c r="N244" i="1"/>
  <c r="J244" i="1"/>
  <c r="K244" i="1" s="1"/>
  <c r="M244" i="1" s="1"/>
  <c r="N243" i="1"/>
  <c r="J243" i="1"/>
  <c r="K243" i="1" s="1"/>
  <c r="M243" i="1" s="1"/>
  <c r="N242" i="1"/>
  <c r="J242" i="1"/>
  <c r="K242" i="1" s="1"/>
  <c r="M242" i="1" s="1"/>
  <c r="N241" i="1"/>
  <c r="J241" i="1"/>
  <c r="K241" i="1" s="1"/>
  <c r="M241" i="1" s="1"/>
  <c r="N240" i="1"/>
  <c r="J240" i="1"/>
  <c r="K240" i="1" s="1"/>
  <c r="M240" i="1" s="1"/>
  <c r="N239" i="1"/>
  <c r="J239" i="1"/>
  <c r="K239" i="1" s="1"/>
  <c r="M239" i="1" s="1"/>
  <c r="N238" i="1"/>
  <c r="J238" i="1"/>
  <c r="K238" i="1" s="1"/>
  <c r="M238" i="1" s="1"/>
  <c r="N237" i="1"/>
  <c r="J237" i="1"/>
  <c r="K237" i="1" s="1"/>
  <c r="M237" i="1" s="1"/>
  <c r="N236" i="1"/>
  <c r="J236" i="1"/>
  <c r="K236" i="1" s="1"/>
  <c r="M236" i="1" s="1"/>
  <c r="N235" i="1"/>
  <c r="J235" i="1"/>
  <c r="K235" i="1" s="1"/>
  <c r="M235" i="1" s="1"/>
  <c r="N234" i="1"/>
  <c r="J234" i="1"/>
  <c r="K234" i="1" s="1"/>
  <c r="M234" i="1" s="1"/>
  <c r="N233" i="1"/>
  <c r="J233" i="1"/>
  <c r="K233" i="1" s="1"/>
  <c r="M233" i="1" s="1"/>
  <c r="N232" i="1"/>
  <c r="J232" i="1"/>
  <c r="K232" i="1" s="1"/>
  <c r="M232" i="1" s="1"/>
  <c r="N231" i="1"/>
  <c r="J231" i="1"/>
  <c r="K231" i="1" s="1"/>
  <c r="M231" i="1" s="1"/>
  <c r="N230" i="1"/>
  <c r="J230" i="1"/>
  <c r="K230" i="1" s="1"/>
  <c r="M230" i="1" s="1"/>
  <c r="N229" i="1"/>
  <c r="J229" i="1"/>
  <c r="K229" i="1" s="1"/>
  <c r="M229" i="1" s="1"/>
  <c r="N228" i="1"/>
  <c r="J228" i="1"/>
  <c r="K228" i="1" s="1"/>
  <c r="M228" i="1" s="1"/>
  <c r="N227" i="1"/>
  <c r="J227" i="1"/>
  <c r="K227" i="1" s="1"/>
  <c r="M227" i="1" s="1"/>
  <c r="N226" i="1"/>
  <c r="J226" i="1"/>
  <c r="K226" i="1" s="1"/>
  <c r="M226" i="1" s="1"/>
  <c r="N225" i="1"/>
  <c r="J225" i="1"/>
  <c r="K225" i="1" s="1"/>
  <c r="M225" i="1" s="1"/>
  <c r="N224" i="1"/>
  <c r="J224" i="1"/>
  <c r="K224" i="1" s="1"/>
  <c r="M224" i="1" s="1"/>
  <c r="N223" i="1"/>
  <c r="J223" i="1"/>
  <c r="K223" i="1" s="1"/>
  <c r="M223" i="1" s="1"/>
  <c r="N222" i="1"/>
  <c r="J222" i="1"/>
  <c r="K222" i="1" s="1"/>
  <c r="M222" i="1" s="1"/>
  <c r="N221" i="1"/>
  <c r="J221" i="1"/>
  <c r="K221" i="1" s="1"/>
  <c r="M221" i="1" s="1"/>
  <c r="N220" i="1"/>
  <c r="J220" i="1"/>
  <c r="K220" i="1" s="1"/>
  <c r="M220" i="1" s="1"/>
  <c r="N219" i="1"/>
  <c r="J219" i="1"/>
  <c r="K219" i="1" s="1"/>
  <c r="M219" i="1" s="1"/>
  <c r="N218" i="1"/>
  <c r="J218" i="1"/>
  <c r="K218" i="1" s="1"/>
  <c r="M218" i="1" s="1"/>
  <c r="N217" i="1"/>
  <c r="J217" i="1"/>
  <c r="K217" i="1" s="1"/>
  <c r="M217" i="1" s="1"/>
  <c r="N216" i="1"/>
  <c r="J216" i="1"/>
  <c r="K216" i="1" s="1"/>
  <c r="M216" i="1" s="1"/>
  <c r="N215" i="1"/>
  <c r="J215" i="1"/>
  <c r="K215" i="1" s="1"/>
  <c r="M215" i="1" s="1"/>
  <c r="N214" i="1"/>
  <c r="J214" i="1"/>
  <c r="K214" i="1" s="1"/>
  <c r="M214" i="1" s="1"/>
  <c r="N213" i="1"/>
  <c r="J213" i="1"/>
  <c r="K213" i="1" s="1"/>
  <c r="M213" i="1" s="1"/>
  <c r="N212" i="1"/>
  <c r="J212" i="1"/>
  <c r="K212" i="1" s="1"/>
  <c r="M212" i="1" s="1"/>
  <c r="N211" i="1"/>
  <c r="J211" i="1"/>
  <c r="K211" i="1" s="1"/>
  <c r="M211" i="1" s="1"/>
  <c r="N210" i="1"/>
  <c r="J210" i="1"/>
  <c r="K210" i="1" s="1"/>
  <c r="M210" i="1" s="1"/>
  <c r="N209" i="1"/>
  <c r="J209" i="1"/>
  <c r="K209" i="1" s="1"/>
  <c r="M209" i="1" s="1"/>
  <c r="N208" i="1"/>
  <c r="J208" i="1"/>
  <c r="K208" i="1" s="1"/>
  <c r="M208" i="1" s="1"/>
  <c r="N207" i="1"/>
  <c r="J207" i="1"/>
  <c r="K207" i="1" s="1"/>
  <c r="M207" i="1" s="1"/>
  <c r="N206" i="1"/>
  <c r="J206" i="1"/>
  <c r="K206" i="1" s="1"/>
  <c r="M206" i="1" s="1"/>
  <c r="N205" i="1"/>
  <c r="J205" i="1"/>
  <c r="K205" i="1" s="1"/>
  <c r="M205" i="1" s="1"/>
  <c r="N204" i="1"/>
  <c r="J204" i="1"/>
  <c r="K204" i="1" s="1"/>
  <c r="M204" i="1" s="1"/>
  <c r="N203" i="1"/>
  <c r="J203" i="1"/>
  <c r="K203" i="1" s="1"/>
  <c r="M203" i="1" s="1"/>
  <c r="N202" i="1"/>
  <c r="J202" i="1"/>
  <c r="K202" i="1" s="1"/>
  <c r="M202" i="1" s="1"/>
  <c r="N201" i="1"/>
  <c r="J201" i="1"/>
  <c r="K201" i="1" s="1"/>
  <c r="M201" i="1" s="1"/>
  <c r="N200" i="1"/>
  <c r="J200" i="1"/>
  <c r="K200" i="1" s="1"/>
  <c r="M200" i="1" s="1"/>
  <c r="N199" i="1"/>
  <c r="J199" i="1"/>
  <c r="K199" i="1" s="1"/>
  <c r="M199" i="1" s="1"/>
  <c r="N198" i="1"/>
  <c r="J198" i="1"/>
  <c r="K198" i="1" s="1"/>
  <c r="M198" i="1" s="1"/>
  <c r="N197" i="1"/>
  <c r="J197" i="1"/>
  <c r="K197" i="1" s="1"/>
  <c r="M197" i="1" s="1"/>
  <c r="N196" i="1"/>
  <c r="J196" i="1"/>
  <c r="K196" i="1" s="1"/>
  <c r="M196" i="1" s="1"/>
  <c r="N195" i="1"/>
  <c r="J195" i="1"/>
  <c r="K195" i="1" s="1"/>
  <c r="M195" i="1" s="1"/>
  <c r="N194" i="1"/>
  <c r="J194" i="1"/>
  <c r="K194" i="1" s="1"/>
  <c r="M194" i="1" s="1"/>
  <c r="N193" i="1"/>
  <c r="J193" i="1"/>
  <c r="K193" i="1" s="1"/>
  <c r="M193" i="1" s="1"/>
  <c r="N192" i="1"/>
  <c r="J192" i="1"/>
  <c r="K192" i="1" s="1"/>
  <c r="M192" i="1" s="1"/>
  <c r="N191" i="1"/>
  <c r="J191" i="1"/>
  <c r="K191" i="1" s="1"/>
  <c r="M191" i="1" s="1"/>
  <c r="N190" i="1"/>
  <c r="J190" i="1"/>
  <c r="K190" i="1" s="1"/>
  <c r="M190" i="1" s="1"/>
  <c r="N189" i="1"/>
  <c r="J189" i="1"/>
  <c r="K189" i="1" s="1"/>
  <c r="M189" i="1" s="1"/>
  <c r="N188" i="1"/>
  <c r="J188" i="1"/>
  <c r="K188" i="1" s="1"/>
  <c r="M188" i="1" s="1"/>
  <c r="N187" i="1"/>
  <c r="J187" i="1"/>
  <c r="K187" i="1" s="1"/>
  <c r="M187" i="1" s="1"/>
  <c r="N186" i="1"/>
  <c r="J186" i="1"/>
  <c r="K186" i="1" s="1"/>
  <c r="M186" i="1" s="1"/>
  <c r="N185" i="1"/>
  <c r="J185" i="1"/>
  <c r="K185" i="1" s="1"/>
  <c r="M185" i="1" s="1"/>
  <c r="N184" i="1"/>
  <c r="J184" i="1"/>
  <c r="K184" i="1" s="1"/>
  <c r="M184" i="1" s="1"/>
  <c r="N183" i="1"/>
  <c r="J183" i="1"/>
  <c r="K183" i="1" s="1"/>
  <c r="M183" i="1" s="1"/>
  <c r="N182" i="1"/>
  <c r="J182" i="1"/>
  <c r="K182" i="1" s="1"/>
  <c r="M182" i="1" s="1"/>
  <c r="N181" i="1"/>
  <c r="J181" i="1"/>
  <c r="K181" i="1" s="1"/>
  <c r="M181" i="1" s="1"/>
  <c r="N180" i="1"/>
  <c r="J180" i="1"/>
  <c r="K180" i="1" s="1"/>
  <c r="M180" i="1" s="1"/>
  <c r="N179" i="1"/>
  <c r="J179" i="1"/>
  <c r="K179" i="1" s="1"/>
  <c r="M179" i="1" s="1"/>
  <c r="N178" i="1"/>
  <c r="J178" i="1"/>
  <c r="K178" i="1" s="1"/>
  <c r="M178" i="1" s="1"/>
  <c r="N177" i="1"/>
  <c r="J177" i="1"/>
  <c r="K177" i="1" s="1"/>
  <c r="M177" i="1" s="1"/>
  <c r="N176" i="1"/>
  <c r="J176" i="1"/>
  <c r="K176" i="1" s="1"/>
  <c r="M176" i="1" s="1"/>
  <c r="N175" i="1"/>
  <c r="J175" i="1"/>
  <c r="K175" i="1" s="1"/>
  <c r="M175" i="1" s="1"/>
  <c r="N174" i="1"/>
  <c r="J174" i="1"/>
  <c r="K174" i="1" s="1"/>
  <c r="M174" i="1" s="1"/>
  <c r="N173" i="1"/>
  <c r="J173" i="1"/>
  <c r="K173" i="1" s="1"/>
  <c r="M173" i="1" s="1"/>
  <c r="N172" i="1"/>
  <c r="J172" i="1"/>
  <c r="K172" i="1" s="1"/>
  <c r="M172" i="1" s="1"/>
  <c r="N171" i="1"/>
  <c r="J171" i="1"/>
  <c r="K171" i="1" s="1"/>
  <c r="M171" i="1" s="1"/>
  <c r="N170" i="1"/>
  <c r="J170" i="1"/>
  <c r="K170" i="1" s="1"/>
  <c r="M170" i="1" s="1"/>
  <c r="N169" i="1"/>
  <c r="J169" i="1"/>
  <c r="K169" i="1" s="1"/>
  <c r="M169" i="1" s="1"/>
  <c r="N168" i="1"/>
  <c r="J168" i="1"/>
  <c r="K168" i="1" s="1"/>
  <c r="M168" i="1" s="1"/>
  <c r="N167" i="1"/>
  <c r="J167" i="1"/>
  <c r="K167" i="1" s="1"/>
  <c r="M167" i="1" s="1"/>
  <c r="N166" i="1"/>
  <c r="J166" i="1"/>
  <c r="K166" i="1" s="1"/>
  <c r="M166" i="1" s="1"/>
  <c r="N165" i="1"/>
  <c r="J165" i="1"/>
  <c r="K165" i="1" s="1"/>
  <c r="M165" i="1" s="1"/>
  <c r="N164" i="1"/>
  <c r="J164" i="1"/>
  <c r="K164" i="1" s="1"/>
  <c r="M164" i="1" s="1"/>
  <c r="N163" i="1"/>
  <c r="J163" i="1"/>
  <c r="K163" i="1" s="1"/>
  <c r="M163" i="1" s="1"/>
  <c r="N162" i="1"/>
  <c r="J162" i="1"/>
  <c r="K162" i="1" s="1"/>
  <c r="M162" i="1" s="1"/>
  <c r="N161" i="1"/>
  <c r="J161" i="1"/>
  <c r="K161" i="1" s="1"/>
  <c r="M161" i="1" s="1"/>
  <c r="N160" i="1"/>
  <c r="J160" i="1"/>
  <c r="K160" i="1" s="1"/>
  <c r="M160" i="1" s="1"/>
  <c r="N159" i="1"/>
  <c r="J159" i="1"/>
  <c r="K159" i="1" s="1"/>
  <c r="M159" i="1" s="1"/>
  <c r="N158" i="1"/>
  <c r="J158" i="1"/>
  <c r="K158" i="1" s="1"/>
  <c r="M158" i="1" s="1"/>
  <c r="N157" i="1"/>
  <c r="J157" i="1"/>
  <c r="K157" i="1" s="1"/>
  <c r="M157" i="1" s="1"/>
  <c r="N156" i="1"/>
  <c r="J156" i="1"/>
  <c r="K156" i="1" s="1"/>
  <c r="M156" i="1" s="1"/>
  <c r="N155" i="1"/>
  <c r="J155" i="1"/>
  <c r="K155" i="1" s="1"/>
  <c r="M155" i="1" s="1"/>
  <c r="N154" i="1"/>
  <c r="J154" i="1"/>
  <c r="K154" i="1" s="1"/>
  <c r="M154" i="1" s="1"/>
  <c r="N153" i="1"/>
  <c r="J153" i="1"/>
  <c r="K153" i="1" s="1"/>
  <c r="M153" i="1" s="1"/>
  <c r="N152" i="1"/>
  <c r="J152" i="1"/>
  <c r="K152" i="1" s="1"/>
  <c r="M152" i="1" s="1"/>
  <c r="N151" i="1"/>
  <c r="J151" i="1"/>
  <c r="K151" i="1" s="1"/>
  <c r="M151" i="1" s="1"/>
  <c r="N150" i="1"/>
  <c r="J150" i="1"/>
  <c r="K150" i="1" s="1"/>
  <c r="M150" i="1" s="1"/>
  <c r="N149" i="1"/>
  <c r="J149" i="1"/>
  <c r="K149" i="1" s="1"/>
  <c r="M149" i="1" s="1"/>
  <c r="N148" i="1"/>
  <c r="J148" i="1"/>
  <c r="K148" i="1" s="1"/>
  <c r="M148" i="1" s="1"/>
  <c r="N147" i="1"/>
  <c r="J147" i="1"/>
  <c r="K147" i="1" s="1"/>
  <c r="M147" i="1" s="1"/>
  <c r="N146" i="1"/>
  <c r="J146" i="1"/>
  <c r="K146" i="1" s="1"/>
  <c r="M146" i="1" s="1"/>
  <c r="N145" i="1"/>
  <c r="J145" i="1"/>
  <c r="K145" i="1" s="1"/>
  <c r="M145" i="1" s="1"/>
  <c r="N144" i="1"/>
  <c r="J144" i="1"/>
  <c r="K144" i="1" s="1"/>
  <c r="M144" i="1" s="1"/>
  <c r="N143" i="1"/>
  <c r="J143" i="1"/>
  <c r="K143" i="1" s="1"/>
  <c r="M143" i="1" s="1"/>
  <c r="N142" i="1"/>
  <c r="J142" i="1"/>
  <c r="K142" i="1" s="1"/>
  <c r="M142" i="1" s="1"/>
  <c r="N141" i="1"/>
  <c r="J141" i="1"/>
  <c r="K141" i="1" s="1"/>
  <c r="M141" i="1" s="1"/>
  <c r="N140" i="1"/>
  <c r="J140" i="1"/>
  <c r="K140" i="1" s="1"/>
  <c r="M140" i="1" s="1"/>
  <c r="N139" i="1"/>
  <c r="J139" i="1"/>
  <c r="K139" i="1" s="1"/>
  <c r="M139" i="1" s="1"/>
  <c r="N138" i="1"/>
  <c r="J138" i="1"/>
  <c r="K138" i="1" s="1"/>
  <c r="M138" i="1" s="1"/>
  <c r="N137" i="1"/>
  <c r="J137" i="1"/>
  <c r="K137" i="1" s="1"/>
  <c r="M137" i="1" s="1"/>
  <c r="N136" i="1"/>
  <c r="J136" i="1"/>
  <c r="K136" i="1" s="1"/>
  <c r="M136" i="1" s="1"/>
  <c r="N135" i="1"/>
  <c r="J135" i="1"/>
  <c r="K135" i="1" s="1"/>
  <c r="M135" i="1" s="1"/>
  <c r="N134" i="1"/>
  <c r="J134" i="1"/>
  <c r="K134" i="1" s="1"/>
  <c r="M134" i="1" s="1"/>
  <c r="N133" i="1"/>
  <c r="J133" i="1"/>
  <c r="K133" i="1" s="1"/>
  <c r="M133" i="1" s="1"/>
  <c r="N132" i="1"/>
  <c r="J132" i="1"/>
  <c r="K132" i="1" s="1"/>
  <c r="M132" i="1" s="1"/>
  <c r="N131" i="1"/>
  <c r="J131" i="1"/>
  <c r="K131" i="1" s="1"/>
  <c r="M131" i="1" s="1"/>
  <c r="N130" i="1"/>
  <c r="J130" i="1"/>
  <c r="K130" i="1" s="1"/>
  <c r="M130" i="1" s="1"/>
  <c r="N129" i="1"/>
  <c r="J129" i="1"/>
  <c r="K129" i="1" s="1"/>
  <c r="M129" i="1" s="1"/>
  <c r="N128" i="1"/>
  <c r="J128" i="1"/>
  <c r="K128" i="1" s="1"/>
  <c r="M128" i="1" s="1"/>
  <c r="N127" i="1"/>
  <c r="J127" i="1"/>
  <c r="K127" i="1" s="1"/>
  <c r="M127" i="1" s="1"/>
  <c r="N126" i="1"/>
  <c r="J126" i="1"/>
  <c r="K126" i="1" s="1"/>
  <c r="M126" i="1" s="1"/>
  <c r="N125" i="1"/>
  <c r="J125" i="1"/>
  <c r="K125" i="1" s="1"/>
  <c r="M125" i="1" s="1"/>
  <c r="N124" i="1"/>
  <c r="J124" i="1"/>
  <c r="K124" i="1" s="1"/>
  <c r="M124" i="1" s="1"/>
  <c r="N123" i="1"/>
  <c r="J123" i="1"/>
  <c r="K123" i="1" s="1"/>
  <c r="M123" i="1" s="1"/>
  <c r="N122" i="1"/>
  <c r="J122" i="1"/>
  <c r="K122" i="1" s="1"/>
  <c r="M122" i="1" s="1"/>
  <c r="N121" i="1"/>
  <c r="J121" i="1"/>
  <c r="K121" i="1" s="1"/>
  <c r="M121" i="1" s="1"/>
  <c r="N120" i="1"/>
  <c r="J120" i="1"/>
  <c r="K120" i="1" s="1"/>
  <c r="M120" i="1" s="1"/>
  <c r="N119" i="1"/>
  <c r="J119" i="1"/>
  <c r="K119" i="1" s="1"/>
  <c r="M119" i="1" s="1"/>
  <c r="N118" i="1"/>
  <c r="J118" i="1"/>
  <c r="K118" i="1" s="1"/>
  <c r="M118" i="1" s="1"/>
  <c r="N117" i="1"/>
  <c r="J117" i="1"/>
  <c r="K117" i="1" s="1"/>
  <c r="M117" i="1" s="1"/>
  <c r="N116" i="1"/>
  <c r="J116" i="1"/>
  <c r="K116" i="1" s="1"/>
  <c r="M116" i="1" s="1"/>
  <c r="N115" i="1"/>
  <c r="J115" i="1"/>
  <c r="K115" i="1" s="1"/>
  <c r="M115" i="1" s="1"/>
  <c r="N114" i="1"/>
  <c r="J114" i="1"/>
  <c r="K114" i="1" s="1"/>
  <c r="M114" i="1" s="1"/>
  <c r="N113" i="1"/>
  <c r="J113" i="1"/>
  <c r="K113" i="1" s="1"/>
  <c r="M113" i="1" s="1"/>
  <c r="N112" i="1"/>
  <c r="J112" i="1"/>
  <c r="K112" i="1" s="1"/>
  <c r="M112" i="1" s="1"/>
  <c r="N111" i="1"/>
  <c r="J111" i="1"/>
  <c r="K111" i="1" s="1"/>
  <c r="M111" i="1" s="1"/>
  <c r="N110" i="1"/>
  <c r="J110" i="1"/>
  <c r="K110" i="1" s="1"/>
  <c r="M110" i="1" s="1"/>
  <c r="N109" i="1"/>
  <c r="J109" i="1"/>
  <c r="K109" i="1" s="1"/>
  <c r="M109" i="1" s="1"/>
  <c r="N108" i="1"/>
  <c r="J108" i="1"/>
  <c r="K108" i="1" s="1"/>
  <c r="M108" i="1" s="1"/>
  <c r="N107" i="1"/>
  <c r="J107" i="1"/>
  <c r="K107" i="1" s="1"/>
  <c r="M107" i="1" s="1"/>
  <c r="N106" i="1"/>
  <c r="J106" i="1"/>
  <c r="K106" i="1" s="1"/>
  <c r="M106" i="1" s="1"/>
  <c r="N105" i="1"/>
  <c r="J105" i="1"/>
  <c r="K105" i="1" s="1"/>
  <c r="M105" i="1" s="1"/>
  <c r="N104" i="1"/>
  <c r="J104" i="1"/>
  <c r="K104" i="1" s="1"/>
  <c r="M104" i="1" s="1"/>
  <c r="N103" i="1"/>
  <c r="J103" i="1"/>
  <c r="K103" i="1" s="1"/>
  <c r="M103" i="1" s="1"/>
  <c r="N102" i="1"/>
  <c r="J102" i="1"/>
  <c r="K102" i="1" s="1"/>
  <c r="M102" i="1" s="1"/>
  <c r="N101" i="1"/>
  <c r="J101" i="1"/>
  <c r="K101" i="1" s="1"/>
  <c r="M101" i="1" s="1"/>
  <c r="N100" i="1"/>
  <c r="J100" i="1"/>
  <c r="K100" i="1" s="1"/>
  <c r="M100" i="1" s="1"/>
  <c r="N99" i="1"/>
  <c r="J99" i="1"/>
  <c r="K99" i="1" s="1"/>
  <c r="M99" i="1" s="1"/>
  <c r="N98" i="1"/>
  <c r="J98" i="1"/>
  <c r="K98" i="1" s="1"/>
  <c r="M98" i="1" s="1"/>
  <c r="N97" i="1"/>
  <c r="J97" i="1"/>
  <c r="K97" i="1" s="1"/>
  <c r="M97" i="1" s="1"/>
  <c r="N96" i="1"/>
  <c r="J96" i="1"/>
  <c r="K96" i="1" s="1"/>
  <c r="M96" i="1" s="1"/>
  <c r="N95" i="1"/>
  <c r="J95" i="1"/>
  <c r="K95" i="1" s="1"/>
  <c r="M95" i="1" s="1"/>
  <c r="N94" i="1"/>
  <c r="J94" i="1"/>
  <c r="K94" i="1" s="1"/>
  <c r="M94" i="1" s="1"/>
  <c r="N93" i="1"/>
  <c r="J93" i="1"/>
  <c r="K93" i="1" s="1"/>
  <c r="M93" i="1" s="1"/>
  <c r="N92" i="1"/>
  <c r="J92" i="1"/>
  <c r="K92" i="1" s="1"/>
  <c r="M92" i="1" s="1"/>
  <c r="N91" i="1"/>
  <c r="J91" i="1"/>
  <c r="K91" i="1" s="1"/>
  <c r="M91" i="1" s="1"/>
  <c r="N90" i="1"/>
  <c r="J90" i="1"/>
  <c r="K90" i="1" s="1"/>
  <c r="M90" i="1" s="1"/>
  <c r="N89" i="1"/>
  <c r="J89" i="1"/>
  <c r="K89" i="1" s="1"/>
  <c r="M89" i="1" s="1"/>
  <c r="N88" i="1"/>
  <c r="J88" i="1"/>
  <c r="K88" i="1" s="1"/>
  <c r="M88" i="1" s="1"/>
  <c r="N87" i="1"/>
  <c r="J87" i="1"/>
  <c r="K87" i="1" s="1"/>
  <c r="M87" i="1" s="1"/>
  <c r="N86" i="1"/>
  <c r="J86" i="1"/>
  <c r="K86" i="1" s="1"/>
  <c r="M86" i="1" s="1"/>
  <c r="N85" i="1"/>
  <c r="J85" i="1"/>
  <c r="K85" i="1" s="1"/>
  <c r="M85" i="1" s="1"/>
  <c r="N84" i="1"/>
  <c r="J84" i="1"/>
  <c r="K84" i="1" s="1"/>
  <c r="M84" i="1" s="1"/>
  <c r="N83" i="1"/>
  <c r="J83" i="1"/>
  <c r="K83" i="1" s="1"/>
  <c r="M83" i="1" s="1"/>
  <c r="N82" i="1"/>
  <c r="J82" i="1"/>
  <c r="K82" i="1" s="1"/>
  <c r="M82" i="1" s="1"/>
  <c r="N81" i="1"/>
  <c r="J81" i="1"/>
  <c r="K81" i="1" s="1"/>
  <c r="M81" i="1" s="1"/>
  <c r="N80" i="1"/>
  <c r="J80" i="1"/>
  <c r="K80" i="1" s="1"/>
  <c r="M80" i="1" s="1"/>
  <c r="N79" i="1"/>
  <c r="J79" i="1"/>
  <c r="K79" i="1" s="1"/>
  <c r="M79" i="1" s="1"/>
  <c r="N78" i="1"/>
  <c r="J78" i="1"/>
  <c r="K78" i="1" s="1"/>
  <c r="M78" i="1" s="1"/>
  <c r="N77" i="1"/>
  <c r="J77" i="1"/>
  <c r="K77" i="1" s="1"/>
  <c r="M77" i="1" s="1"/>
  <c r="N76" i="1"/>
  <c r="J76" i="1"/>
  <c r="K76" i="1" s="1"/>
  <c r="M76" i="1" s="1"/>
  <c r="N75" i="1"/>
  <c r="J75" i="1"/>
  <c r="K75" i="1" s="1"/>
  <c r="M75" i="1" s="1"/>
  <c r="N74" i="1"/>
  <c r="J74" i="1"/>
  <c r="K74" i="1" s="1"/>
  <c r="M74" i="1" s="1"/>
  <c r="N73" i="1"/>
  <c r="J73" i="1"/>
  <c r="K73" i="1" s="1"/>
  <c r="M73" i="1" s="1"/>
  <c r="N72" i="1"/>
  <c r="J72" i="1"/>
  <c r="K72" i="1" s="1"/>
  <c r="M72" i="1" s="1"/>
  <c r="N71" i="1"/>
  <c r="J71" i="1"/>
  <c r="K71" i="1" s="1"/>
  <c r="M71" i="1" s="1"/>
  <c r="N70" i="1"/>
  <c r="J70" i="1"/>
  <c r="K70" i="1" s="1"/>
  <c r="M70" i="1" s="1"/>
  <c r="N69" i="1"/>
  <c r="M69" i="1"/>
  <c r="J69" i="1"/>
  <c r="K69" i="1" s="1"/>
  <c r="N68" i="1"/>
  <c r="J68" i="1"/>
  <c r="K68" i="1" s="1"/>
  <c r="M68" i="1" s="1"/>
  <c r="N67" i="1"/>
  <c r="J67" i="1"/>
  <c r="K67" i="1" s="1"/>
  <c r="M67" i="1" s="1"/>
  <c r="N66" i="1"/>
  <c r="J66" i="1"/>
  <c r="K66" i="1" s="1"/>
  <c r="M66" i="1" s="1"/>
  <c r="N65" i="1"/>
  <c r="J65" i="1"/>
  <c r="K65" i="1" s="1"/>
  <c r="M65" i="1" s="1"/>
  <c r="N64" i="1"/>
  <c r="J64" i="1"/>
  <c r="K64" i="1" s="1"/>
  <c r="M64" i="1" s="1"/>
  <c r="N63" i="1"/>
  <c r="J63" i="1"/>
  <c r="K63" i="1" s="1"/>
  <c r="M63" i="1" s="1"/>
  <c r="N62" i="1"/>
  <c r="J62" i="1"/>
  <c r="K62" i="1" s="1"/>
  <c r="M62" i="1" s="1"/>
  <c r="N61" i="1"/>
  <c r="J61" i="1"/>
  <c r="K61" i="1" s="1"/>
  <c r="M61" i="1" s="1"/>
  <c r="N60" i="1"/>
  <c r="J60" i="1"/>
  <c r="K60" i="1" s="1"/>
  <c r="M60" i="1" s="1"/>
  <c r="N59" i="1"/>
  <c r="J59" i="1"/>
  <c r="K59" i="1" s="1"/>
  <c r="M59" i="1" s="1"/>
  <c r="N58" i="1"/>
  <c r="J58" i="1"/>
  <c r="K58" i="1" s="1"/>
  <c r="M58" i="1" s="1"/>
  <c r="N57" i="1"/>
  <c r="J57" i="1"/>
  <c r="K57" i="1" s="1"/>
  <c r="M57" i="1" s="1"/>
  <c r="N56" i="1"/>
  <c r="J56" i="1"/>
  <c r="K56" i="1" s="1"/>
  <c r="M56" i="1" s="1"/>
  <c r="N55" i="1"/>
  <c r="J55" i="1"/>
  <c r="K55" i="1" s="1"/>
  <c r="M55" i="1" s="1"/>
  <c r="N54" i="1"/>
  <c r="J54" i="1"/>
  <c r="K54" i="1" s="1"/>
  <c r="M54" i="1" s="1"/>
  <c r="N53" i="1"/>
  <c r="J53" i="1"/>
  <c r="K53" i="1" s="1"/>
  <c r="M53" i="1" s="1"/>
  <c r="N52" i="1"/>
  <c r="M52" i="1"/>
  <c r="J52" i="1"/>
  <c r="K52" i="1" s="1"/>
  <c r="N51" i="1"/>
  <c r="J51" i="1"/>
  <c r="K51" i="1" s="1"/>
  <c r="M51" i="1" s="1"/>
  <c r="N50" i="1"/>
  <c r="J50" i="1"/>
  <c r="K50" i="1" s="1"/>
  <c r="M50" i="1" s="1"/>
  <c r="N49" i="1"/>
  <c r="J49" i="1"/>
  <c r="K49" i="1" s="1"/>
  <c r="M49" i="1" s="1"/>
  <c r="N48" i="1"/>
  <c r="J48" i="1"/>
  <c r="K48" i="1" s="1"/>
  <c r="M48" i="1" s="1"/>
  <c r="N47" i="1"/>
  <c r="J47" i="1"/>
  <c r="K47" i="1" s="1"/>
  <c r="M47" i="1" s="1"/>
  <c r="N46" i="1"/>
  <c r="J46" i="1"/>
  <c r="K46" i="1" s="1"/>
  <c r="M46" i="1" s="1"/>
  <c r="N45" i="1"/>
  <c r="J45" i="1"/>
  <c r="K45" i="1" s="1"/>
  <c r="M45" i="1" s="1"/>
  <c r="N44" i="1"/>
  <c r="J44" i="1"/>
  <c r="K44" i="1" s="1"/>
  <c r="M44" i="1" s="1"/>
  <c r="N43" i="1"/>
  <c r="J43" i="1"/>
  <c r="K43" i="1" s="1"/>
  <c r="M43" i="1" s="1"/>
  <c r="N42" i="1"/>
  <c r="J42" i="1"/>
  <c r="K42" i="1" s="1"/>
  <c r="M42" i="1" s="1"/>
  <c r="N41" i="1"/>
  <c r="J41" i="1"/>
  <c r="K41" i="1" s="1"/>
  <c r="M41" i="1" s="1"/>
  <c r="N40" i="1"/>
  <c r="M40" i="1"/>
  <c r="J40" i="1"/>
  <c r="K40" i="1" s="1"/>
  <c r="N39" i="1"/>
  <c r="J39" i="1"/>
  <c r="K39" i="1" s="1"/>
  <c r="M39" i="1" s="1"/>
  <c r="N38" i="1"/>
  <c r="M38" i="1"/>
  <c r="J38" i="1"/>
  <c r="K38" i="1" s="1"/>
  <c r="N37" i="1"/>
  <c r="M37" i="1"/>
  <c r="J37" i="1"/>
  <c r="K37" i="1" s="1"/>
  <c r="N36" i="1"/>
  <c r="J36" i="1"/>
  <c r="K36" i="1" s="1"/>
  <c r="M36" i="1" s="1"/>
  <c r="N35" i="1"/>
  <c r="J35" i="1"/>
  <c r="K35" i="1" s="1"/>
  <c r="M35" i="1" s="1"/>
  <c r="N34" i="1"/>
  <c r="M34" i="1"/>
  <c r="J34" i="1"/>
  <c r="K34" i="1" s="1"/>
  <c r="N33" i="1"/>
  <c r="J33" i="1"/>
  <c r="K33" i="1" s="1"/>
  <c r="M33" i="1" s="1"/>
  <c r="N32" i="1"/>
  <c r="J32" i="1"/>
  <c r="K32" i="1" s="1"/>
  <c r="M32" i="1" s="1"/>
  <c r="N31" i="1"/>
  <c r="J31" i="1"/>
  <c r="K31" i="1" s="1"/>
  <c r="M31" i="1" s="1"/>
  <c r="N30" i="1"/>
  <c r="M30" i="1"/>
  <c r="J30" i="1"/>
  <c r="K30" i="1" s="1"/>
  <c r="N29" i="1"/>
  <c r="M29" i="1"/>
  <c r="J29" i="1"/>
  <c r="K29" i="1" s="1"/>
  <c r="N28" i="1"/>
  <c r="M28" i="1"/>
  <c r="J28" i="1"/>
  <c r="K28" i="1" s="1"/>
  <c r="N27" i="1"/>
  <c r="M27" i="1"/>
  <c r="J27" i="1"/>
  <c r="K27" i="1" s="1"/>
  <c r="N26" i="1"/>
  <c r="M26" i="1"/>
  <c r="J26" i="1"/>
  <c r="K26" i="1" s="1"/>
  <c r="N25" i="1"/>
  <c r="J25" i="1"/>
  <c r="K25" i="1" s="1"/>
  <c r="M25" i="1" s="1"/>
  <c r="N24" i="1"/>
  <c r="J24" i="1"/>
  <c r="K24" i="1" s="1"/>
  <c r="M24" i="1" s="1"/>
  <c r="N23" i="1"/>
  <c r="M23" i="1"/>
  <c r="J23" i="1"/>
  <c r="K23" i="1" s="1"/>
  <c r="N22" i="1"/>
  <c r="M22" i="1"/>
  <c r="J22" i="1"/>
  <c r="K22" i="1" s="1"/>
  <c r="N21" i="1"/>
  <c r="M21" i="1"/>
  <c r="J21" i="1"/>
  <c r="K21" i="1" s="1"/>
  <c r="N20" i="1"/>
  <c r="J20" i="1"/>
  <c r="K20" i="1" s="1"/>
  <c r="M20" i="1" s="1"/>
  <c r="N19" i="1"/>
  <c r="M19" i="1"/>
  <c r="J19" i="1"/>
  <c r="K19" i="1" s="1"/>
  <c r="N18" i="1"/>
  <c r="M18" i="1"/>
  <c r="J18" i="1"/>
  <c r="K18" i="1" s="1"/>
  <c r="N17" i="1"/>
  <c r="J17" i="1"/>
  <c r="K17" i="1" s="1"/>
  <c r="M17" i="1" s="1"/>
  <c r="N16" i="1"/>
  <c r="J16" i="1"/>
  <c r="K16" i="1" s="1"/>
  <c r="M16" i="1" s="1"/>
  <c r="N15" i="1"/>
  <c r="M15" i="1"/>
  <c r="J15" i="1"/>
  <c r="K15" i="1" s="1"/>
  <c r="N14" i="1"/>
  <c r="J14" i="1"/>
  <c r="K14" i="1" s="1"/>
  <c r="M14" i="1" s="1"/>
  <c r="N13" i="1"/>
  <c r="M13" i="1"/>
  <c r="J13" i="1"/>
  <c r="K13" i="1" s="1"/>
  <c r="N12" i="1"/>
  <c r="M12" i="1"/>
  <c r="J12" i="1"/>
  <c r="K12" i="1" s="1"/>
  <c r="N11" i="1"/>
  <c r="M11" i="1"/>
  <c r="J11" i="1"/>
  <c r="K11" i="1" s="1"/>
  <c r="N10" i="1"/>
  <c r="J10" i="1"/>
  <c r="K10" i="1" s="1"/>
  <c r="M10" i="1" s="1"/>
  <c r="N9" i="1"/>
  <c r="J9" i="1"/>
  <c r="K9" i="1" s="1"/>
  <c r="M9" i="1" s="1"/>
  <c r="N8" i="1"/>
  <c r="M8" i="1"/>
  <c r="J8" i="1"/>
  <c r="K8" i="1" s="1"/>
  <c r="N7" i="1"/>
  <c r="M7" i="1"/>
  <c r="J7" i="1"/>
  <c r="K7" i="1" s="1"/>
  <c r="N6" i="1"/>
  <c r="J6" i="1"/>
  <c r="K6" i="1" s="1"/>
  <c r="M6" i="1" s="1"/>
  <c r="N5" i="1"/>
  <c r="J5" i="1"/>
  <c r="K5" i="1" s="1"/>
  <c r="M5" i="1" s="1"/>
  <c r="N4" i="1"/>
  <c r="J4" i="1"/>
  <c r="K4" i="1" s="1"/>
  <c r="M4" i="1" s="1"/>
</calcChain>
</file>

<file path=xl/sharedStrings.xml><?xml version="1.0" encoding="utf-8"?>
<sst xmlns="http://schemas.openxmlformats.org/spreadsheetml/2006/main" count="1605" uniqueCount="47">
  <si>
    <t>Plan de intervenciones — Escenario FP90 (sin caldera 90%, con caldera 99.0%)</t>
  </si>
  <si>
    <t>Evento</t>
  </si>
  <si>
    <t>Unidad</t>
  </si>
  <si>
    <t>Caldera</t>
  </si>
  <si>
    <t>Inicio</t>
  </si>
  <si>
    <t>Fin</t>
  </si>
  <si>
    <t>Días salida</t>
  </si>
  <si>
    <t>Código</t>
  </si>
  <si>
    <t>Tarea</t>
  </si>
  <si>
    <t>Horas al ejecutar</t>
  </si>
  <si>
    <t>Intervalo (h)</t>
  </si>
  <si>
    <t>% intervalo</t>
  </si>
  <si>
    <t>Atraso heredado</t>
  </si>
  <si>
    <t>Estado</t>
  </si>
  <si>
    <t>Año</t>
  </si>
  <si>
    <t>U9</t>
  </si>
  <si>
    <t>Sí</t>
  </si>
  <si>
    <t>LC</t>
  </si>
  <si>
    <t>Lavado caldera</t>
  </si>
  <si>
    <t>No</t>
  </si>
  <si>
    <t>12K</t>
  </si>
  <si>
    <t>Mantenimiento 12k (OVH)</t>
  </si>
  <si>
    <t>TC</t>
  </si>
  <si>
    <t>Mantto. turbocargadores</t>
  </si>
  <si>
    <t>MB</t>
  </si>
  <si>
    <t>Cojinetes de bancada MB</t>
  </si>
  <si>
    <t>U13</t>
  </si>
  <si>
    <t>3K</t>
  </si>
  <si>
    <t>Mantenimiento 3k</t>
  </si>
  <si>
    <t>U15</t>
  </si>
  <si>
    <t>U7</t>
  </si>
  <si>
    <t>6K</t>
  </si>
  <si>
    <t>Mantenimiento 6k</t>
  </si>
  <si>
    <t>BEB</t>
  </si>
  <si>
    <t>Horas BEB</t>
  </si>
  <si>
    <t>U8</t>
  </si>
  <si>
    <t>U14</t>
  </si>
  <si>
    <t>U10</t>
  </si>
  <si>
    <t>U2</t>
  </si>
  <si>
    <t>U16</t>
  </si>
  <si>
    <t>U4</t>
  </si>
  <si>
    <t>U12</t>
  </si>
  <si>
    <t>U1</t>
  </si>
  <si>
    <t>U3</t>
  </si>
  <si>
    <t>U6</t>
  </si>
  <si>
    <t>U11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</si>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</sst>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2E539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9" fontId="3" fillId="0" borderId="1" xfId="0" applyNumberFormat="1" applyFont="1" applyBorder="1"/>
  </cellXfs>
  <cellStyles count="1">
    <cellStyle name="Normal" xfId="0" builtinId="0"/>
  </cellStyles>
  <dxfs count="4"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lfhn-my.sharepoint.com/personal/luigio_trejo_lufussa_com/Documents/Escritorio/Mantenimientos%20PV3%2018W46/Informes%20IA/IA%20Planes%202026%20al%202029/2-%20Corrida%202%2001.10.2026/Plan_Optimo_Intervenciones_PavanaIII_2026-2029.xlsx" TargetMode="External"/><Relationship Id="rId2" Type="http://schemas.microsoft.com/office/2019/04/relationships/externalLinkLongPath" Target="Plan_Optimo_Intervenciones_PavanaIII_2026-2029.xlsx?BC92A622" TargetMode="External"/><Relationship Id="rId1" Type="http://schemas.openxmlformats.org/officeDocument/2006/relationships/externalLinkPath" Target="file:///\\BC92A622\Plan_Optimo_Intervenciones_PavanaIII_2026-2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sumen"/>
      <sheetName val="Resumen Año-Tipo-FP"/>
      <sheetName val="Parámetros"/>
      <sheetName val="Estado inicial"/>
      <sheetName val="Capacidad"/>
      <sheetName val="Plan_FP95"/>
      <sheetName val="Diario_FP95"/>
      <sheetName val="Plan_FP90"/>
      <sheetName val="Diario_FP90"/>
      <sheetName val="Plan_FP85"/>
      <sheetName val="Diario_FP85"/>
      <sheetName val="Plan_FP80"/>
      <sheetName val="Diario_FP80"/>
      <sheetName val="Plan_FP75"/>
      <sheetName val="Diario_FP75"/>
      <sheetName val="Plan_FP70"/>
      <sheetName val="Diario_FP70"/>
      <sheetName val="Plan_FP65"/>
      <sheetName val="Diario_FP65"/>
      <sheetName val="Plan_FP60"/>
      <sheetName val="Diario_FP60"/>
      <sheetName val="Horas proyectadas"/>
    </sheetNames>
    <sheetDataSet>
      <sheetData sheetId="0"/>
      <sheetData sheetId="1"/>
      <sheetData sheetId="2">
        <row r="4">
          <cell r="A4" t="str">
            <v>LC</v>
          </cell>
          <cell r="C4">
            <v>1500</v>
          </cell>
        </row>
        <row r="5">
          <cell r="A5" t="str">
            <v>3K</v>
          </cell>
          <cell r="C5">
            <v>3000</v>
          </cell>
        </row>
        <row r="6">
          <cell r="A6" t="str">
            <v>6K</v>
          </cell>
          <cell r="C6">
            <v>6000</v>
          </cell>
        </row>
        <row r="7">
          <cell r="A7" t="str">
            <v>12K</v>
          </cell>
          <cell r="C7">
            <v>12000</v>
          </cell>
        </row>
        <row r="8">
          <cell r="A8" t="str">
            <v>TC</v>
          </cell>
          <cell r="C8">
            <v>12000</v>
          </cell>
        </row>
        <row r="9">
          <cell r="A9" t="str">
            <v>BEB</v>
          </cell>
          <cell r="C9">
            <v>12000</v>
          </cell>
        </row>
        <row r="10">
          <cell r="A10" t="str">
            <v>MB</v>
          </cell>
          <cell r="C10">
            <v>24000</v>
          </cell>
        </row>
        <row r="13">
          <cell r="E13">
            <v>0.9</v>
          </cell>
        </row>
        <row r="14">
          <cell r="E14">
            <v>1.1000000000000001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6A0D-3863-4607-A26C-D7DECC14ADE6}">
  <dimension ref="A1:N321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2" width="7" customWidth="1"/>
    <col min="3" max="3" width="8" customWidth="1"/>
    <col min="4" max="5" width="11" customWidth="1"/>
    <col min="6" max="6" width="8" customWidth="1"/>
    <col min="7" max="7" width="7" customWidth="1"/>
    <col min="8" max="8" width="30" customWidth="1"/>
    <col min="9" max="9" width="11" customWidth="1"/>
    <col min="10" max="10" width="10" customWidth="1"/>
    <col min="11" max="12" width="9" customWidth="1"/>
    <col min="13" max="13" width="18" customWidth="1"/>
    <col min="14" max="14" width="6" customWidth="1"/>
  </cols>
  <sheetData>
    <row r="1" spans="1:14" ht="17.25" customHeight="1" x14ac:dyDescent="0.3">
      <c r="A1" s="1" t="s">
        <v>0</v>
      </c>
    </row>
    <row r="3" spans="1:14" ht="41.2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3">
      <c r="A4" s="3">
        <v>1</v>
      </c>
      <c r="B4" s="4" t="s">
        <v>15</v>
      </c>
      <c r="C4" s="3" t="s">
        <v>16</v>
      </c>
      <c r="D4" s="5">
        <v>46204</v>
      </c>
      <c r="E4" s="5">
        <v>46226</v>
      </c>
      <c r="F4" s="3">
        <v>23</v>
      </c>
      <c r="G4" s="4" t="s">
        <v>17</v>
      </c>
      <c r="H4" s="3" t="s">
        <v>18</v>
      </c>
      <c r="I4" s="6">
        <v>1150</v>
      </c>
      <c r="J4" s="6">
        <f>INDEX([1]Parámetros!$C$4:$C$10,MATCH(G4,[1]Parámetros!$A$4:$A$10,0))</f>
        <v>1500</v>
      </c>
      <c r="K4" s="7">
        <f t="shared" ref="K4:K67" si="0">I4/J4</f>
        <v>0.76666666666666672</v>
      </c>
      <c r="L4" s="3" t="s">
        <v>19</v>
      </c>
      <c r="M4" s="3" t="str">
        <f>IF(L4="Sí","Atraso heredado",IF(K4&lt;[1]Parámetros!$E$13,"Adelantado",IF(K4&lt;=[1]Parámetros!$E$14,"En ventana ±10%","Fuera de ventana")))</f>
        <v>Adelantado</v>
      </c>
      <c r="N4" s="3">
        <f t="shared" ref="N4:N67" si="1">YEAR(D4)</f>
        <v>2026</v>
      </c>
    </row>
    <row r="5" spans="1:14" x14ac:dyDescent="0.3">
      <c r="A5" s="3">
        <v>1</v>
      </c>
      <c r="B5" s="4" t="s">
        <v>15</v>
      </c>
      <c r="C5" s="3" t="s">
        <v>16</v>
      </c>
      <c r="D5" s="5">
        <v>46204</v>
      </c>
      <c r="E5" s="5">
        <v>46226</v>
      </c>
      <c r="F5" s="3">
        <v>23</v>
      </c>
      <c r="G5" s="4" t="s">
        <v>20</v>
      </c>
      <c r="H5" s="3" t="s">
        <v>21</v>
      </c>
      <c r="I5" s="6">
        <v>13109</v>
      </c>
      <c r="J5" s="6">
        <f>INDEX([1]Parámetros!$C$4:$C$10,MATCH(G5,[1]Parámetros!$A$4:$A$10,0))</f>
        <v>12000</v>
      </c>
      <c r="K5" s="7">
        <f t="shared" si="0"/>
        <v>1.0924166666666666</v>
      </c>
      <c r="L5" s="3" t="s">
        <v>19</v>
      </c>
      <c r="M5" s="3" t="str">
        <f>IF(L5="Sí","Atraso heredado",IF(K5&lt;[1]Parámetros!$E$13,"Adelantado",IF(K5&lt;=[1]Parámetros!$E$14,"En ventana ±10%","Fuera de ventana")))</f>
        <v>En ventana ±10%</v>
      </c>
      <c r="N5" s="3">
        <f t="shared" si="1"/>
        <v>2026</v>
      </c>
    </row>
    <row r="6" spans="1:14" x14ac:dyDescent="0.3">
      <c r="A6" s="3">
        <v>1</v>
      </c>
      <c r="B6" s="4" t="s">
        <v>15</v>
      </c>
      <c r="C6" s="3" t="s">
        <v>16</v>
      </c>
      <c r="D6" s="5">
        <v>46204</v>
      </c>
      <c r="E6" s="5">
        <v>46226</v>
      </c>
      <c r="F6" s="3">
        <v>23</v>
      </c>
      <c r="G6" s="4" t="s">
        <v>22</v>
      </c>
      <c r="H6" s="3" t="s">
        <v>23</v>
      </c>
      <c r="I6" s="6">
        <v>13107</v>
      </c>
      <c r="J6" s="6">
        <f>INDEX([1]Parámetros!$C$4:$C$10,MATCH(G6,[1]Parámetros!$A$4:$A$10,0))</f>
        <v>12000</v>
      </c>
      <c r="K6" s="7">
        <f t="shared" si="0"/>
        <v>1.0922499999999999</v>
      </c>
      <c r="L6" s="3" t="s">
        <v>19</v>
      </c>
      <c r="M6" s="3" t="str">
        <f>IF(L6="Sí","Atraso heredado",IF(K6&lt;[1]Parámetros!$E$13,"Adelantado",IF(K6&lt;=[1]Parámetros!$E$14,"En ventana ±10%","Fuera de ventana")))</f>
        <v>En ventana ±10%</v>
      </c>
      <c r="N6" s="3">
        <f t="shared" si="1"/>
        <v>2026</v>
      </c>
    </row>
    <row r="7" spans="1:14" x14ac:dyDescent="0.3">
      <c r="A7" s="3">
        <v>1</v>
      </c>
      <c r="B7" s="4" t="s">
        <v>15</v>
      </c>
      <c r="C7" s="3" t="s">
        <v>16</v>
      </c>
      <c r="D7" s="5">
        <v>46204</v>
      </c>
      <c r="E7" s="5">
        <v>46226</v>
      </c>
      <c r="F7" s="3">
        <v>23</v>
      </c>
      <c r="G7" s="4" t="s">
        <v>24</v>
      </c>
      <c r="H7" s="3" t="s">
        <v>25</v>
      </c>
      <c r="I7" s="6">
        <v>27045</v>
      </c>
      <c r="J7" s="6">
        <f>INDEX([1]Parámetros!$C$4:$C$10,MATCH(G7,[1]Parámetros!$A$4:$A$10,0))</f>
        <v>24000</v>
      </c>
      <c r="K7" s="7">
        <f t="shared" si="0"/>
        <v>1.1268750000000001</v>
      </c>
      <c r="L7" s="3" t="s">
        <v>16</v>
      </c>
      <c r="M7" s="3" t="str">
        <f>IF(L7="Sí","Atraso heredado",IF(K7&lt;[1]Parámetros!$E$13,"Adelantado",IF(K7&lt;=[1]Parámetros!$E$14,"En ventana ±10%","Fuera de ventana")))</f>
        <v>Atraso heredado</v>
      </c>
      <c r="N7" s="3">
        <f t="shared" si="1"/>
        <v>2026</v>
      </c>
    </row>
    <row r="8" spans="1:14" x14ac:dyDescent="0.3">
      <c r="A8" s="3">
        <v>2</v>
      </c>
      <c r="B8" s="4" t="s">
        <v>26</v>
      </c>
      <c r="C8" s="3" t="s">
        <v>19</v>
      </c>
      <c r="D8" s="5">
        <v>46227</v>
      </c>
      <c r="E8" s="5">
        <v>46230</v>
      </c>
      <c r="F8" s="3">
        <v>4</v>
      </c>
      <c r="G8" s="4" t="s">
        <v>27</v>
      </c>
      <c r="H8" s="3" t="s">
        <v>28</v>
      </c>
      <c r="I8" s="6">
        <v>4500</v>
      </c>
      <c r="J8" s="6">
        <f>INDEX([1]Parámetros!$C$4:$C$10,MATCH(G8,[1]Parámetros!$A$4:$A$10,0))</f>
        <v>3000</v>
      </c>
      <c r="K8" s="7">
        <f t="shared" si="0"/>
        <v>1.5</v>
      </c>
      <c r="L8" s="3" t="s">
        <v>16</v>
      </c>
      <c r="M8" s="3" t="str">
        <f>IF(L8="Sí","Atraso heredado",IF(K8&lt;[1]Parámetros!$E$13,"Adelantado",IF(K8&lt;=[1]Parámetros!$E$14,"En ventana ±10%","Fuera de ventana")))</f>
        <v>Atraso heredado</v>
      </c>
      <c r="N8" s="3">
        <f t="shared" si="1"/>
        <v>2026</v>
      </c>
    </row>
    <row r="9" spans="1:14" x14ac:dyDescent="0.3">
      <c r="A9" s="3">
        <v>3</v>
      </c>
      <c r="B9" s="4" t="s">
        <v>29</v>
      </c>
      <c r="C9" s="3" t="s">
        <v>16</v>
      </c>
      <c r="D9" s="5">
        <v>46231</v>
      </c>
      <c r="E9" s="5">
        <v>46232</v>
      </c>
      <c r="F9" s="3">
        <v>2</v>
      </c>
      <c r="G9" s="4" t="s">
        <v>17</v>
      </c>
      <c r="H9" s="3" t="s">
        <v>18</v>
      </c>
      <c r="I9" s="6">
        <v>1487</v>
      </c>
      <c r="J9" s="6">
        <f>INDEX([1]Parámetros!$C$4:$C$10,MATCH(G9,[1]Parámetros!$A$4:$A$10,0))</f>
        <v>1500</v>
      </c>
      <c r="K9" s="7">
        <f t="shared" si="0"/>
        <v>0.99133333333333329</v>
      </c>
      <c r="L9" s="3" t="s">
        <v>19</v>
      </c>
      <c r="M9" s="3" t="str">
        <f>IF(L9="Sí","Atraso heredado",IF(K9&lt;[1]Parámetros!$E$13,"Adelantado",IF(K9&lt;=[1]Parámetros!$E$14,"En ventana ±10%","Fuera de ventana")))</f>
        <v>En ventana ±10%</v>
      </c>
      <c r="N9" s="3">
        <f t="shared" si="1"/>
        <v>2026</v>
      </c>
    </row>
    <row r="10" spans="1:14" x14ac:dyDescent="0.3">
      <c r="A10" s="3">
        <v>4</v>
      </c>
      <c r="B10" s="4" t="s">
        <v>30</v>
      </c>
      <c r="C10" s="3" t="s">
        <v>16</v>
      </c>
      <c r="D10" s="5">
        <v>46233</v>
      </c>
      <c r="E10" s="5">
        <v>46246</v>
      </c>
      <c r="F10" s="3">
        <v>14</v>
      </c>
      <c r="G10" s="4" t="s">
        <v>31</v>
      </c>
      <c r="H10" s="3" t="s">
        <v>32</v>
      </c>
      <c r="I10" s="6">
        <v>7034</v>
      </c>
      <c r="J10" s="6">
        <f>INDEX([1]Parámetros!$C$4:$C$10,MATCH(G10,[1]Parámetros!$A$4:$A$10,0))</f>
        <v>6000</v>
      </c>
      <c r="K10" s="7">
        <f t="shared" si="0"/>
        <v>1.1723333333333332</v>
      </c>
      <c r="L10" s="3" t="s">
        <v>19</v>
      </c>
      <c r="M10" s="3" t="str">
        <f>IF(L10="Sí","Atraso heredado",IF(K10&lt;[1]Parámetros!$E$13,"Adelantado",IF(K10&lt;=[1]Parámetros!$E$14,"En ventana ±10%","Fuera de ventana")))</f>
        <v>Fuera de ventana</v>
      </c>
      <c r="N10" s="3">
        <f t="shared" si="1"/>
        <v>2026</v>
      </c>
    </row>
    <row r="11" spans="1:14" x14ac:dyDescent="0.3">
      <c r="A11" s="3">
        <v>4</v>
      </c>
      <c r="B11" s="4" t="s">
        <v>30</v>
      </c>
      <c r="C11" s="3" t="s">
        <v>16</v>
      </c>
      <c r="D11" s="5">
        <v>46233</v>
      </c>
      <c r="E11" s="5">
        <v>46246</v>
      </c>
      <c r="F11" s="3">
        <v>14</v>
      </c>
      <c r="G11" s="4" t="s">
        <v>33</v>
      </c>
      <c r="H11" s="3" t="s">
        <v>34</v>
      </c>
      <c r="I11" s="6">
        <v>14046</v>
      </c>
      <c r="J11" s="6">
        <f>INDEX([1]Parámetros!$C$4:$C$10,MATCH(G11,[1]Parámetros!$A$4:$A$10,0))</f>
        <v>12000</v>
      </c>
      <c r="K11" s="7">
        <f t="shared" si="0"/>
        <v>1.1705000000000001</v>
      </c>
      <c r="L11" s="3" t="s">
        <v>16</v>
      </c>
      <c r="M11" s="3" t="str">
        <f>IF(L11="Sí","Atraso heredado",IF(K11&lt;[1]Parámetros!$E$13,"Adelantado",IF(K11&lt;=[1]Parámetros!$E$14,"En ventana ±10%","Fuera de ventana")))</f>
        <v>Atraso heredado</v>
      </c>
      <c r="N11" s="3">
        <f t="shared" si="1"/>
        <v>2026</v>
      </c>
    </row>
    <row r="12" spans="1:14" x14ac:dyDescent="0.3">
      <c r="A12" s="3">
        <v>4</v>
      </c>
      <c r="B12" s="4" t="s">
        <v>30</v>
      </c>
      <c r="C12" s="3" t="s">
        <v>16</v>
      </c>
      <c r="D12" s="5">
        <v>46233</v>
      </c>
      <c r="E12" s="5">
        <v>46246</v>
      </c>
      <c r="F12" s="3">
        <v>14</v>
      </c>
      <c r="G12" s="4" t="s">
        <v>24</v>
      </c>
      <c r="H12" s="3" t="s">
        <v>25</v>
      </c>
      <c r="I12" s="6">
        <v>36957</v>
      </c>
      <c r="J12" s="6">
        <f>INDEX([1]Parámetros!$C$4:$C$10,MATCH(G12,[1]Parámetros!$A$4:$A$10,0))</f>
        <v>24000</v>
      </c>
      <c r="K12" s="7">
        <f t="shared" si="0"/>
        <v>1.5398750000000001</v>
      </c>
      <c r="L12" s="3" t="s">
        <v>16</v>
      </c>
      <c r="M12" s="3" t="str">
        <f>IF(L12="Sí","Atraso heredado",IF(K12&lt;[1]Parámetros!$E$13,"Adelantado",IF(K12&lt;=[1]Parámetros!$E$14,"En ventana ±10%","Fuera de ventana")))</f>
        <v>Atraso heredado</v>
      </c>
      <c r="N12" s="3">
        <f t="shared" si="1"/>
        <v>2026</v>
      </c>
    </row>
    <row r="13" spans="1:14" x14ac:dyDescent="0.3">
      <c r="A13" s="3">
        <v>4</v>
      </c>
      <c r="B13" s="4" t="s">
        <v>30</v>
      </c>
      <c r="C13" s="3" t="s">
        <v>16</v>
      </c>
      <c r="D13" s="5">
        <v>46233</v>
      </c>
      <c r="E13" s="5">
        <v>46246</v>
      </c>
      <c r="F13" s="3">
        <v>14</v>
      </c>
      <c r="G13" s="4" t="s">
        <v>27</v>
      </c>
      <c r="H13" s="3" t="s">
        <v>28</v>
      </c>
      <c r="I13" s="6">
        <v>4004</v>
      </c>
      <c r="J13" s="6">
        <f>INDEX([1]Parámetros!$C$4:$C$10,MATCH(G13,[1]Parámetros!$A$4:$A$10,0))</f>
        <v>3000</v>
      </c>
      <c r="K13" s="7">
        <f t="shared" si="0"/>
        <v>1.3346666666666667</v>
      </c>
      <c r="L13" s="3" t="s">
        <v>16</v>
      </c>
      <c r="M13" s="3" t="str">
        <f>IF(L13="Sí","Atraso heredado",IF(K13&lt;[1]Parámetros!$E$13,"Adelantado",IF(K13&lt;=[1]Parámetros!$E$14,"En ventana ±10%","Fuera de ventana")))</f>
        <v>Atraso heredado</v>
      </c>
      <c r="N13" s="3">
        <f t="shared" si="1"/>
        <v>2026</v>
      </c>
    </row>
    <row r="14" spans="1:14" x14ac:dyDescent="0.3">
      <c r="A14" s="3">
        <v>5</v>
      </c>
      <c r="B14" s="4" t="s">
        <v>35</v>
      </c>
      <c r="C14" s="3" t="s">
        <v>16</v>
      </c>
      <c r="D14" s="5">
        <v>46247</v>
      </c>
      <c r="E14" s="5">
        <v>46254</v>
      </c>
      <c r="F14" s="3">
        <v>8</v>
      </c>
      <c r="G14" s="4" t="s">
        <v>17</v>
      </c>
      <c r="H14" s="3" t="s">
        <v>18</v>
      </c>
      <c r="I14" s="6">
        <v>1426</v>
      </c>
      <c r="J14" s="6">
        <f>INDEX([1]Parámetros!$C$4:$C$10,MATCH(G14,[1]Parámetros!$A$4:$A$10,0))</f>
        <v>1500</v>
      </c>
      <c r="K14" s="7">
        <f t="shared" si="0"/>
        <v>0.95066666666666666</v>
      </c>
      <c r="L14" s="3" t="s">
        <v>19</v>
      </c>
      <c r="M14" s="3" t="str">
        <f>IF(L14="Sí","Atraso heredado",IF(K14&lt;[1]Parámetros!$E$13,"Adelantado",IF(K14&lt;=[1]Parámetros!$E$14,"En ventana ±10%","Fuera de ventana")))</f>
        <v>En ventana ±10%</v>
      </c>
      <c r="N14" s="3">
        <f t="shared" si="1"/>
        <v>2026</v>
      </c>
    </row>
    <row r="15" spans="1:14" x14ac:dyDescent="0.3">
      <c r="A15" s="3">
        <v>5</v>
      </c>
      <c r="B15" s="4" t="s">
        <v>35</v>
      </c>
      <c r="C15" s="3" t="s">
        <v>16</v>
      </c>
      <c r="D15" s="5">
        <v>46247</v>
      </c>
      <c r="E15" s="5">
        <v>46254</v>
      </c>
      <c r="F15" s="3">
        <v>8</v>
      </c>
      <c r="G15" s="4" t="s">
        <v>24</v>
      </c>
      <c r="H15" s="3" t="s">
        <v>25</v>
      </c>
      <c r="I15" s="6">
        <v>39999</v>
      </c>
      <c r="J15" s="6">
        <f>INDEX([1]Parámetros!$C$4:$C$10,MATCH(G15,[1]Parámetros!$A$4:$A$10,0))</f>
        <v>24000</v>
      </c>
      <c r="K15" s="7">
        <f t="shared" si="0"/>
        <v>1.666625</v>
      </c>
      <c r="L15" s="3" t="s">
        <v>16</v>
      </c>
      <c r="M15" s="3" t="str">
        <f>IF(L15="Sí","Atraso heredado",IF(K15&lt;[1]Parámetros!$E$13,"Adelantado",IF(K15&lt;=[1]Parámetros!$E$14,"En ventana ±10%","Fuera de ventana")))</f>
        <v>Atraso heredado</v>
      </c>
      <c r="N15" s="3">
        <f t="shared" si="1"/>
        <v>2026</v>
      </c>
    </row>
    <row r="16" spans="1:14" x14ac:dyDescent="0.3">
      <c r="A16" s="3">
        <v>6</v>
      </c>
      <c r="B16" s="4" t="s">
        <v>36</v>
      </c>
      <c r="C16" s="3" t="s">
        <v>19</v>
      </c>
      <c r="D16" s="5">
        <v>46255</v>
      </c>
      <c r="E16" s="5">
        <v>46258</v>
      </c>
      <c r="F16" s="3">
        <v>4</v>
      </c>
      <c r="G16" s="4" t="s">
        <v>27</v>
      </c>
      <c r="H16" s="3" t="s">
        <v>28</v>
      </c>
      <c r="I16" s="6">
        <v>3120</v>
      </c>
      <c r="J16" s="6">
        <f>INDEX([1]Parámetros!$C$4:$C$10,MATCH(G16,[1]Parámetros!$A$4:$A$10,0))</f>
        <v>3000</v>
      </c>
      <c r="K16" s="7">
        <f t="shared" si="0"/>
        <v>1.04</v>
      </c>
      <c r="L16" s="3" t="s">
        <v>19</v>
      </c>
      <c r="M16" s="3" t="str">
        <f>IF(L16="Sí","Atraso heredado",IF(K16&lt;[1]Parámetros!$E$13,"Adelantado",IF(K16&lt;=[1]Parámetros!$E$14,"En ventana ±10%","Fuera de ventana")))</f>
        <v>En ventana ±10%</v>
      </c>
      <c r="N16" s="3">
        <f t="shared" si="1"/>
        <v>2026</v>
      </c>
    </row>
    <row r="17" spans="1:14" x14ac:dyDescent="0.3">
      <c r="A17" s="3">
        <v>7</v>
      </c>
      <c r="B17" s="4" t="s">
        <v>37</v>
      </c>
      <c r="C17" s="3" t="s">
        <v>16</v>
      </c>
      <c r="D17" s="5">
        <v>46259</v>
      </c>
      <c r="E17" s="5">
        <v>46281</v>
      </c>
      <c r="F17" s="3">
        <v>23</v>
      </c>
      <c r="G17" s="4" t="s">
        <v>17</v>
      </c>
      <c r="H17" s="3" t="s">
        <v>18</v>
      </c>
      <c r="I17" s="6">
        <v>1562</v>
      </c>
      <c r="J17" s="6">
        <f>INDEX([1]Parámetros!$C$4:$C$10,MATCH(G17,[1]Parámetros!$A$4:$A$10,0))</f>
        <v>1500</v>
      </c>
      <c r="K17" s="7">
        <f t="shared" si="0"/>
        <v>1.0413333333333334</v>
      </c>
      <c r="L17" s="3" t="s">
        <v>19</v>
      </c>
      <c r="M17" s="3" t="str">
        <f>IF(L17="Sí","Atraso heredado",IF(K17&lt;[1]Parámetros!$E$13,"Adelantado",IF(K17&lt;=[1]Parámetros!$E$14,"En ventana ±10%","Fuera de ventana")))</f>
        <v>En ventana ±10%</v>
      </c>
      <c r="N17" s="3">
        <f t="shared" si="1"/>
        <v>2026</v>
      </c>
    </row>
    <row r="18" spans="1:14" x14ac:dyDescent="0.3">
      <c r="A18" s="3">
        <v>7</v>
      </c>
      <c r="B18" s="4" t="s">
        <v>37</v>
      </c>
      <c r="C18" s="3" t="s">
        <v>16</v>
      </c>
      <c r="D18" s="5">
        <v>46259</v>
      </c>
      <c r="E18" s="5">
        <v>46281</v>
      </c>
      <c r="F18" s="3">
        <v>23</v>
      </c>
      <c r="G18" s="4" t="s">
        <v>20</v>
      </c>
      <c r="H18" s="3" t="s">
        <v>21</v>
      </c>
      <c r="I18" s="6">
        <v>17907</v>
      </c>
      <c r="J18" s="6">
        <f>INDEX([1]Parámetros!$C$4:$C$10,MATCH(G18,[1]Parámetros!$A$4:$A$10,0))</f>
        <v>12000</v>
      </c>
      <c r="K18" s="7">
        <f t="shared" si="0"/>
        <v>1.4922500000000001</v>
      </c>
      <c r="L18" s="3" t="s">
        <v>16</v>
      </c>
      <c r="M18" s="3" t="str">
        <f>IF(L18="Sí","Atraso heredado",IF(K18&lt;[1]Parámetros!$E$13,"Adelantado",IF(K18&lt;=[1]Parámetros!$E$14,"En ventana ±10%","Fuera de ventana")))</f>
        <v>Atraso heredado</v>
      </c>
      <c r="N18" s="3">
        <f t="shared" si="1"/>
        <v>2026</v>
      </c>
    </row>
    <row r="19" spans="1:14" x14ac:dyDescent="0.3">
      <c r="A19" s="3">
        <v>7</v>
      </c>
      <c r="B19" s="4" t="s">
        <v>37</v>
      </c>
      <c r="C19" s="3" t="s">
        <v>16</v>
      </c>
      <c r="D19" s="5">
        <v>46259</v>
      </c>
      <c r="E19" s="5">
        <v>46281</v>
      </c>
      <c r="F19" s="3">
        <v>23</v>
      </c>
      <c r="G19" s="4" t="s">
        <v>22</v>
      </c>
      <c r="H19" s="3" t="s">
        <v>23</v>
      </c>
      <c r="I19" s="6">
        <v>17907</v>
      </c>
      <c r="J19" s="6">
        <f>INDEX([1]Parámetros!$C$4:$C$10,MATCH(G19,[1]Parámetros!$A$4:$A$10,0))</f>
        <v>12000</v>
      </c>
      <c r="K19" s="7">
        <f t="shared" si="0"/>
        <v>1.4922500000000001</v>
      </c>
      <c r="L19" s="3" t="s">
        <v>16</v>
      </c>
      <c r="M19" s="3" t="str">
        <f>IF(L19="Sí","Atraso heredado",IF(K19&lt;[1]Parámetros!$E$13,"Adelantado",IF(K19&lt;=[1]Parámetros!$E$14,"En ventana ±10%","Fuera de ventana")))</f>
        <v>Atraso heredado</v>
      </c>
      <c r="N19" s="3">
        <f t="shared" si="1"/>
        <v>2026</v>
      </c>
    </row>
    <row r="20" spans="1:14" x14ac:dyDescent="0.3">
      <c r="A20" s="3">
        <v>7</v>
      </c>
      <c r="B20" s="4" t="s">
        <v>37</v>
      </c>
      <c r="C20" s="3" t="s">
        <v>16</v>
      </c>
      <c r="D20" s="5">
        <v>46259</v>
      </c>
      <c r="E20" s="5">
        <v>46281</v>
      </c>
      <c r="F20" s="3">
        <v>23</v>
      </c>
      <c r="G20" s="4" t="s">
        <v>33</v>
      </c>
      <c r="H20" s="3" t="s">
        <v>34</v>
      </c>
      <c r="I20" s="6">
        <v>11078</v>
      </c>
      <c r="J20" s="6">
        <f>INDEX([1]Parámetros!$C$4:$C$10,MATCH(G20,[1]Parámetros!$A$4:$A$10,0))</f>
        <v>12000</v>
      </c>
      <c r="K20" s="7">
        <f t="shared" si="0"/>
        <v>0.92316666666666669</v>
      </c>
      <c r="L20" s="3" t="s">
        <v>19</v>
      </c>
      <c r="M20" s="3" t="str">
        <f>IF(L20="Sí","Atraso heredado",IF(K20&lt;[1]Parámetros!$E$13,"Adelantado",IF(K20&lt;=[1]Parámetros!$E$14,"En ventana ±10%","Fuera de ventana")))</f>
        <v>En ventana ±10%</v>
      </c>
      <c r="N20" s="3">
        <f t="shared" si="1"/>
        <v>2026</v>
      </c>
    </row>
    <row r="21" spans="1:14" x14ac:dyDescent="0.3">
      <c r="A21" s="3">
        <v>7</v>
      </c>
      <c r="B21" s="4" t="s">
        <v>37</v>
      </c>
      <c r="C21" s="3" t="s">
        <v>16</v>
      </c>
      <c r="D21" s="5">
        <v>46259</v>
      </c>
      <c r="E21" s="5">
        <v>46281</v>
      </c>
      <c r="F21" s="3">
        <v>23</v>
      </c>
      <c r="G21" s="4" t="s">
        <v>24</v>
      </c>
      <c r="H21" s="3" t="s">
        <v>25</v>
      </c>
      <c r="I21" s="6">
        <v>34570</v>
      </c>
      <c r="J21" s="6">
        <f>INDEX([1]Parámetros!$C$4:$C$10,MATCH(G21,[1]Parámetros!$A$4:$A$10,0))</f>
        <v>24000</v>
      </c>
      <c r="K21" s="7">
        <f t="shared" si="0"/>
        <v>1.4404166666666667</v>
      </c>
      <c r="L21" s="3" t="s">
        <v>16</v>
      </c>
      <c r="M21" s="3" t="str">
        <f>IF(L21="Sí","Atraso heredado",IF(K21&lt;[1]Parámetros!$E$13,"Adelantado",IF(K21&lt;=[1]Parámetros!$E$14,"En ventana ±10%","Fuera de ventana")))</f>
        <v>Atraso heredado</v>
      </c>
      <c r="N21" s="3">
        <f t="shared" si="1"/>
        <v>2026</v>
      </c>
    </row>
    <row r="22" spans="1:14" x14ac:dyDescent="0.3">
      <c r="A22" s="3">
        <v>7</v>
      </c>
      <c r="B22" s="4" t="s">
        <v>37</v>
      </c>
      <c r="C22" s="3" t="s">
        <v>16</v>
      </c>
      <c r="D22" s="5">
        <v>46259</v>
      </c>
      <c r="E22" s="5">
        <v>46281</v>
      </c>
      <c r="F22" s="3">
        <v>23</v>
      </c>
      <c r="G22" s="4" t="s">
        <v>31</v>
      </c>
      <c r="H22" s="3" t="s">
        <v>32</v>
      </c>
      <c r="I22" s="6">
        <v>11084</v>
      </c>
      <c r="J22" s="6">
        <f>INDEX([1]Parámetros!$C$4:$C$10,MATCH(G22,[1]Parámetros!$A$4:$A$10,0))</f>
        <v>6000</v>
      </c>
      <c r="K22" s="7">
        <f t="shared" si="0"/>
        <v>1.8473333333333333</v>
      </c>
      <c r="L22" s="3" t="s">
        <v>16</v>
      </c>
      <c r="M22" s="3" t="str">
        <f>IF(L22="Sí","Atraso heredado",IF(K22&lt;[1]Parámetros!$E$13,"Adelantado",IF(K22&lt;=[1]Parámetros!$E$14,"En ventana ±10%","Fuera de ventana")))</f>
        <v>Atraso heredado</v>
      </c>
      <c r="N22" s="3">
        <f t="shared" si="1"/>
        <v>2026</v>
      </c>
    </row>
    <row r="23" spans="1:14" x14ac:dyDescent="0.3">
      <c r="A23" s="3">
        <v>7</v>
      </c>
      <c r="B23" s="4" t="s">
        <v>37</v>
      </c>
      <c r="C23" s="3" t="s">
        <v>16</v>
      </c>
      <c r="D23" s="5">
        <v>46259</v>
      </c>
      <c r="E23" s="5">
        <v>46281</v>
      </c>
      <c r="F23" s="3">
        <v>23</v>
      </c>
      <c r="G23" s="4" t="s">
        <v>27</v>
      </c>
      <c r="H23" s="3" t="s">
        <v>28</v>
      </c>
      <c r="I23" s="6">
        <v>4694</v>
      </c>
      <c r="J23" s="6">
        <f>INDEX([1]Parámetros!$C$4:$C$10,MATCH(G23,[1]Parámetros!$A$4:$A$10,0))</f>
        <v>3000</v>
      </c>
      <c r="K23" s="7">
        <f t="shared" si="0"/>
        <v>1.5646666666666667</v>
      </c>
      <c r="L23" s="3" t="s">
        <v>16</v>
      </c>
      <c r="M23" s="3" t="str">
        <f>IF(L23="Sí","Atraso heredado",IF(K23&lt;[1]Parámetros!$E$13,"Adelantado",IF(K23&lt;=[1]Parámetros!$E$14,"En ventana ±10%","Fuera de ventana")))</f>
        <v>Atraso heredado</v>
      </c>
      <c r="N23" s="3">
        <f t="shared" si="1"/>
        <v>2026</v>
      </c>
    </row>
    <row r="24" spans="1:14" x14ac:dyDescent="0.3">
      <c r="A24" s="3">
        <v>8</v>
      </c>
      <c r="B24" s="4" t="s">
        <v>30</v>
      </c>
      <c r="C24" s="3" t="s">
        <v>16</v>
      </c>
      <c r="D24" s="5">
        <v>46282</v>
      </c>
      <c r="E24" s="5">
        <v>46283</v>
      </c>
      <c r="F24" s="3">
        <v>2</v>
      </c>
      <c r="G24" s="4" t="s">
        <v>17</v>
      </c>
      <c r="H24" s="3" t="s">
        <v>18</v>
      </c>
      <c r="I24" s="6">
        <v>1569</v>
      </c>
      <c r="J24" s="6">
        <f>INDEX([1]Parámetros!$C$4:$C$10,MATCH(G24,[1]Parámetros!$A$4:$A$10,0))</f>
        <v>1500</v>
      </c>
      <c r="K24" s="7">
        <f t="shared" si="0"/>
        <v>1.046</v>
      </c>
      <c r="L24" s="3" t="s">
        <v>19</v>
      </c>
      <c r="M24" s="3" t="str">
        <f>IF(L24="Sí","Atraso heredado",IF(K24&lt;[1]Parámetros!$E$13,"Adelantado",IF(K24&lt;=[1]Parámetros!$E$14,"En ventana ±10%","Fuera de ventana")))</f>
        <v>En ventana ±10%</v>
      </c>
      <c r="N24" s="3">
        <f t="shared" si="1"/>
        <v>2026</v>
      </c>
    </row>
    <row r="25" spans="1:14" x14ac:dyDescent="0.3">
      <c r="A25" s="3">
        <v>9</v>
      </c>
      <c r="B25" s="4" t="s">
        <v>38</v>
      </c>
      <c r="C25" s="3" t="s">
        <v>16</v>
      </c>
      <c r="D25" s="5">
        <v>46284</v>
      </c>
      <c r="E25" s="5">
        <v>46306</v>
      </c>
      <c r="F25" s="3">
        <v>23</v>
      </c>
      <c r="G25" s="4" t="s">
        <v>17</v>
      </c>
      <c r="H25" s="3" t="s">
        <v>18</v>
      </c>
      <c r="I25" s="6">
        <v>2917</v>
      </c>
      <c r="J25" s="6">
        <f>INDEX([1]Parámetros!$C$4:$C$10,MATCH(G25,[1]Parámetros!$A$4:$A$10,0))</f>
        <v>1500</v>
      </c>
      <c r="K25" s="7">
        <f t="shared" si="0"/>
        <v>1.9446666666666668</v>
      </c>
      <c r="L25" s="3" t="s">
        <v>19</v>
      </c>
      <c r="M25" s="3" t="str">
        <f>IF(L25="Sí","Atraso heredado",IF(K25&lt;[1]Parámetros!$E$13,"Adelantado",IF(K25&lt;=[1]Parámetros!$E$14,"En ventana ±10%","Fuera de ventana")))</f>
        <v>Fuera de ventana</v>
      </c>
      <c r="N25" s="3">
        <f t="shared" si="1"/>
        <v>2026</v>
      </c>
    </row>
    <row r="26" spans="1:14" x14ac:dyDescent="0.3">
      <c r="A26" s="3">
        <v>9</v>
      </c>
      <c r="B26" s="4" t="s">
        <v>38</v>
      </c>
      <c r="C26" s="3" t="s">
        <v>16</v>
      </c>
      <c r="D26" s="5">
        <v>46284</v>
      </c>
      <c r="E26" s="5">
        <v>46306</v>
      </c>
      <c r="F26" s="3">
        <v>23</v>
      </c>
      <c r="G26" s="4" t="s">
        <v>20</v>
      </c>
      <c r="H26" s="3" t="s">
        <v>21</v>
      </c>
      <c r="I26" s="6">
        <v>15795</v>
      </c>
      <c r="J26" s="6">
        <f>INDEX([1]Parámetros!$C$4:$C$10,MATCH(G26,[1]Parámetros!$A$4:$A$10,0))</f>
        <v>12000</v>
      </c>
      <c r="K26" s="7">
        <f t="shared" si="0"/>
        <v>1.3162499999999999</v>
      </c>
      <c r="L26" s="3" t="s">
        <v>16</v>
      </c>
      <c r="M26" s="3" t="str">
        <f>IF(L26="Sí","Atraso heredado",IF(K26&lt;[1]Parámetros!$E$13,"Adelantado",IF(K26&lt;=[1]Parámetros!$E$14,"En ventana ±10%","Fuera de ventana")))</f>
        <v>Atraso heredado</v>
      </c>
      <c r="N26" s="3">
        <f t="shared" si="1"/>
        <v>2026</v>
      </c>
    </row>
    <row r="27" spans="1:14" x14ac:dyDescent="0.3">
      <c r="A27" s="3">
        <v>9</v>
      </c>
      <c r="B27" s="4" t="s">
        <v>38</v>
      </c>
      <c r="C27" s="3" t="s">
        <v>16</v>
      </c>
      <c r="D27" s="5">
        <v>46284</v>
      </c>
      <c r="E27" s="5">
        <v>46306</v>
      </c>
      <c r="F27" s="3">
        <v>23</v>
      </c>
      <c r="G27" s="4" t="s">
        <v>22</v>
      </c>
      <c r="H27" s="3" t="s">
        <v>23</v>
      </c>
      <c r="I27" s="6">
        <v>15795</v>
      </c>
      <c r="J27" s="6">
        <f>INDEX([1]Parámetros!$C$4:$C$10,MATCH(G27,[1]Parámetros!$A$4:$A$10,0))</f>
        <v>12000</v>
      </c>
      <c r="K27" s="7">
        <f t="shared" si="0"/>
        <v>1.3162499999999999</v>
      </c>
      <c r="L27" s="3" t="s">
        <v>16</v>
      </c>
      <c r="M27" s="3" t="str">
        <f>IF(L27="Sí","Atraso heredado",IF(K27&lt;[1]Parámetros!$E$13,"Adelantado",IF(K27&lt;=[1]Parámetros!$E$14,"En ventana ±10%","Fuera de ventana")))</f>
        <v>Atraso heredado</v>
      </c>
      <c r="N27" s="3">
        <f t="shared" si="1"/>
        <v>2026</v>
      </c>
    </row>
    <row r="28" spans="1:14" x14ac:dyDescent="0.3">
      <c r="A28" s="3">
        <v>9</v>
      </c>
      <c r="B28" s="4" t="s">
        <v>38</v>
      </c>
      <c r="C28" s="3" t="s">
        <v>16</v>
      </c>
      <c r="D28" s="5">
        <v>46284</v>
      </c>
      <c r="E28" s="5">
        <v>46306</v>
      </c>
      <c r="F28" s="3">
        <v>23</v>
      </c>
      <c r="G28" s="4" t="s">
        <v>24</v>
      </c>
      <c r="H28" s="3" t="s">
        <v>25</v>
      </c>
      <c r="I28" s="6">
        <v>31967</v>
      </c>
      <c r="J28" s="6">
        <f>INDEX([1]Parámetros!$C$4:$C$10,MATCH(G28,[1]Parámetros!$A$4:$A$10,0))</f>
        <v>24000</v>
      </c>
      <c r="K28" s="7">
        <f t="shared" si="0"/>
        <v>1.3319583333333334</v>
      </c>
      <c r="L28" s="3" t="s">
        <v>16</v>
      </c>
      <c r="M28" s="3" t="str">
        <f>IF(L28="Sí","Atraso heredado",IF(K28&lt;[1]Parámetros!$E$13,"Adelantado",IF(K28&lt;=[1]Parámetros!$E$14,"En ventana ±10%","Fuera de ventana")))</f>
        <v>Atraso heredado</v>
      </c>
      <c r="N28" s="3">
        <f t="shared" si="1"/>
        <v>2026</v>
      </c>
    </row>
    <row r="29" spans="1:14" x14ac:dyDescent="0.3">
      <c r="A29" s="3">
        <v>9</v>
      </c>
      <c r="B29" s="4" t="s">
        <v>38</v>
      </c>
      <c r="C29" s="3" t="s">
        <v>16</v>
      </c>
      <c r="D29" s="5">
        <v>46284</v>
      </c>
      <c r="E29" s="5">
        <v>46306</v>
      </c>
      <c r="F29" s="3">
        <v>23</v>
      </c>
      <c r="G29" s="4" t="s">
        <v>31</v>
      </c>
      <c r="H29" s="3" t="s">
        <v>32</v>
      </c>
      <c r="I29" s="6">
        <v>9583</v>
      </c>
      <c r="J29" s="6">
        <f>INDEX([1]Parámetros!$C$4:$C$10,MATCH(G29,[1]Parámetros!$A$4:$A$10,0))</f>
        <v>6000</v>
      </c>
      <c r="K29" s="7">
        <f t="shared" si="0"/>
        <v>1.5971666666666666</v>
      </c>
      <c r="L29" s="3" t="s">
        <v>16</v>
      </c>
      <c r="M29" s="3" t="str">
        <f>IF(L29="Sí","Atraso heredado",IF(K29&lt;[1]Parámetros!$E$13,"Adelantado",IF(K29&lt;=[1]Parámetros!$E$14,"En ventana ±10%","Fuera de ventana")))</f>
        <v>Atraso heredado</v>
      </c>
      <c r="N29" s="3">
        <f t="shared" si="1"/>
        <v>2026</v>
      </c>
    </row>
    <row r="30" spans="1:14" x14ac:dyDescent="0.3">
      <c r="A30" s="3">
        <v>9</v>
      </c>
      <c r="B30" s="4" t="s">
        <v>38</v>
      </c>
      <c r="C30" s="3" t="s">
        <v>16</v>
      </c>
      <c r="D30" s="5">
        <v>46284</v>
      </c>
      <c r="E30" s="5">
        <v>46306</v>
      </c>
      <c r="F30" s="3">
        <v>23</v>
      </c>
      <c r="G30" s="4" t="s">
        <v>27</v>
      </c>
      <c r="H30" s="3" t="s">
        <v>28</v>
      </c>
      <c r="I30" s="6">
        <v>6678</v>
      </c>
      <c r="J30" s="6">
        <f>INDEX([1]Parámetros!$C$4:$C$10,MATCH(G30,[1]Parámetros!$A$4:$A$10,0))</f>
        <v>3000</v>
      </c>
      <c r="K30" s="7">
        <f t="shared" si="0"/>
        <v>2.226</v>
      </c>
      <c r="L30" s="3" t="s">
        <v>16</v>
      </c>
      <c r="M30" s="3" t="str">
        <f>IF(L30="Sí","Atraso heredado",IF(K30&lt;[1]Parámetros!$E$13,"Adelantado",IF(K30&lt;=[1]Parámetros!$E$14,"En ventana ±10%","Fuera de ventana")))</f>
        <v>Atraso heredado</v>
      </c>
      <c r="N30" s="3">
        <f t="shared" si="1"/>
        <v>2026</v>
      </c>
    </row>
    <row r="31" spans="1:14" x14ac:dyDescent="0.3">
      <c r="A31" s="3">
        <v>10</v>
      </c>
      <c r="B31" s="4" t="s">
        <v>15</v>
      </c>
      <c r="C31" s="3" t="s">
        <v>16</v>
      </c>
      <c r="D31" s="5">
        <v>46307</v>
      </c>
      <c r="E31" s="5">
        <v>46308</v>
      </c>
      <c r="F31" s="3">
        <v>2</v>
      </c>
      <c r="G31" s="4" t="s">
        <v>17</v>
      </c>
      <c r="H31" s="3" t="s">
        <v>18</v>
      </c>
      <c r="I31" s="6">
        <v>1901</v>
      </c>
      <c r="J31" s="6">
        <f>INDEX([1]Parámetros!$C$4:$C$10,MATCH(G31,[1]Parámetros!$A$4:$A$10,0))</f>
        <v>1500</v>
      </c>
      <c r="K31" s="7">
        <f t="shared" si="0"/>
        <v>1.2673333333333334</v>
      </c>
      <c r="L31" s="3" t="s">
        <v>19</v>
      </c>
      <c r="M31" s="3" t="str">
        <f>IF(L31="Sí","Atraso heredado",IF(K31&lt;[1]Parámetros!$E$13,"Adelantado",IF(K31&lt;=[1]Parámetros!$E$14,"En ventana ±10%","Fuera de ventana")))</f>
        <v>Fuera de ventana</v>
      </c>
      <c r="N31" s="3">
        <f t="shared" si="1"/>
        <v>2026</v>
      </c>
    </row>
    <row r="32" spans="1:14" x14ac:dyDescent="0.3">
      <c r="A32" s="3">
        <v>11</v>
      </c>
      <c r="B32" s="4" t="s">
        <v>39</v>
      </c>
      <c r="C32" s="3" t="s">
        <v>19</v>
      </c>
      <c r="D32" s="5">
        <v>46309</v>
      </c>
      <c r="E32" s="5">
        <v>46331</v>
      </c>
      <c r="F32" s="3">
        <v>23</v>
      </c>
      <c r="G32" s="4" t="s">
        <v>20</v>
      </c>
      <c r="H32" s="3" t="s">
        <v>21</v>
      </c>
      <c r="I32" s="6">
        <v>14297</v>
      </c>
      <c r="J32" s="6">
        <f>INDEX([1]Parámetros!$C$4:$C$10,MATCH(G32,[1]Parámetros!$A$4:$A$10,0))</f>
        <v>12000</v>
      </c>
      <c r="K32" s="7">
        <f t="shared" si="0"/>
        <v>1.1914166666666666</v>
      </c>
      <c r="L32" s="3" t="s">
        <v>19</v>
      </c>
      <c r="M32" s="3" t="str">
        <f>IF(L32="Sí","Atraso heredado",IF(K32&lt;[1]Parámetros!$E$13,"Adelantado",IF(K32&lt;=[1]Parámetros!$E$14,"En ventana ±10%","Fuera de ventana")))</f>
        <v>Fuera de ventana</v>
      </c>
      <c r="N32" s="3">
        <f t="shared" si="1"/>
        <v>2026</v>
      </c>
    </row>
    <row r="33" spans="1:14" x14ac:dyDescent="0.3">
      <c r="A33" s="3">
        <v>11</v>
      </c>
      <c r="B33" s="4" t="s">
        <v>39</v>
      </c>
      <c r="C33" s="3" t="s">
        <v>19</v>
      </c>
      <c r="D33" s="5">
        <v>46309</v>
      </c>
      <c r="E33" s="5">
        <v>46331</v>
      </c>
      <c r="F33" s="3">
        <v>23</v>
      </c>
      <c r="G33" s="4" t="s">
        <v>22</v>
      </c>
      <c r="H33" s="3" t="s">
        <v>23</v>
      </c>
      <c r="I33" s="6">
        <v>14297</v>
      </c>
      <c r="J33" s="6">
        <f>INDEX([1]Parámetros!$C$4:$C$10,MATCH(G33,[1]Parámetros!$A$4:$A$10,0))</f>
        <v>12000</v>
      </c>
      <c r="K33" s="7">
        <f t="shared" si="0"/>
        <v>1.1914166666666666</v>
      </c>
      <c r="L33" s="3" t="s">
        <v>19</v>
      </c>
      <c r="M33" s="3" t="str">
        <f>IF(L33="Sí","Atraso heredado",IF(K33&lt;[1]Parámetros!$E$13,"Adelantado",IF(K33&lt;=[1]Parámetros!$E$14,"En ventana ±10%","Fuera de ventana")))</f>
        <v>Fuera de ventana</v>
      </c>
      <c r="N33" s="3">
        <f t="shared" si="1"/>
        <v>2026</v>
      </c>
    </row>
    <row r="34" spans="1:14" x14ac:dyDescent="0.3">
      <c r="A34" s="3">
        <v>11</v>
      </c>
      <c r="B34" s="4" t="s">
        <v>39</v>
      </c>
      <c r="C34" s="3" t="s">
        <v>19</v>
      </c>
      <c r="D34" s="5">
        <v>46309</v>
      </c>
      <c r="E34" s="5">
        <v>46331</v>
      </c>
      <c r="F34" s="3">
        <v>23</v>
      </c>
      <c r="G34" s="4" t="s">
        <v>24</v>
      </c>
      <c r="H34" s="3" t="s">
        <v>25</v>
      </c>
      <c r="I34" s="6">
        <v>29294</v>
      </c>
      <c r="J34" s="6">
        <f>INDEX([1]Parámetros!$C$4:$C$10,MATCH(G34,[1]Parámetros!$A$4:$A$10,0))</f>
        <v>24000</v>
      </c>
      <c r="K34" s="7">
        <f t="shared" si="0"/>
        <v>1.2205833333333334</v>
      </c>
      <c r="L34" s="3" t="s">
        <v>16</v>
      </c>
      <c r="M34" s="3" t="str">
        <f>IF(L34="Sí","Atraso heredado",IF(K34&lt;[1]Parámetros!$E$13,"Adelantado",IF(K34&lt;=[1]Parámetros!$E$14,"En ventana ±10%","Fuera de ventana")))</f>
        <v>Atraso heredado</v>
      </c>
      <c r="N34" s="3">
        <f t="shared" si="1"/>
        <v>2026</v>
      </c>
    </row>
    <row r="35" spans="1:14" x14ac:dyDescent="0.3">
      <c r="A35" s="3">
        <v>11</v>
      </c>
      <c r="B35" s="4" t="s">
        <v>39</v>
      </c>
      <c r="C35" s="3" t="s">
        <v>19</v>
      </c>
      <c r="D35" s="5">
        <v>46309</v>
      </c>
      <c r="E35" s="5">
        <v>46331</v>
      </c>
      <c r="F35" s="3">
        <v>23</v>
      </c>
      <c r="G35" s="4" t="s">
        <v>31</v>
      </c>
      <c r="H35" s="3" t="s">
        <v>32</v>
      </c>
      <c r="I35" s="6">
        <v>8110</v>
      </c>
      <c r="J35" s="6">
        <f>INDEX([1]Parámetros!$C$4:$C$10,MATCH(G35,[1]Parámetros!$A$4:$A$10,0))</f>
        <v>6000</v>
      </c>
      <c r="K35" s="7">
        <f t="shared" si="0"/>
        <v>1.3516666666666666</v>
      </c>
      <c r="L35" s="3" t="s">
        <v>19</v>
      </c>
      <c r="M35" s="3" t="str">
        <f>IF(L35="Sí","Atraso heredado",IF(K35&lt;[1]Parámetros!$E$13,"Adelantado",IF(K35&lt;=[1]Parámetros!$E$14,"En ventana ±10%","Fuera de ventana")))</f>
        <v>Fuera de ventana</v>
      </c>
      <c r="N35" s="3">
        <f t="shared" si="1"/>
        <v>2026</v>
      </c>
    </row>
    <row r="36" spans="1:14" x14ac:dyDescent="0.3">
      <c r="A36" s="3">
        <v>11</v>
      </c>
      <c r="B36" s="4" t="s">
        <v>39</v>
      </c>
      <c r="C36" s="3" t="s">
        <v>19</v>
      </c>
      <c r="D36" s="5">
        <v>46309</v>
      </c>
      <c r="E36" s="5">
        <v>46331</v>
      </c>
      <c r="F36" s="3">
        <v>23</v>
      </c>
      <c r="G36" s="4" t="s">
        <v>27</v>
      </c>
      <c r="H36" s="3" t="s">
        <v>28</v>
      </c>
      <c r="I36" s="6">
        <v>4697</v>
      </c>
      <c r="J36" s="6">
        <f>INDEX([1]Parámetros!$C$4:$C$10,MATCH(G36,[1]Parámetros!$A$4:$A$10,0))</f>
        <v>3000</v>
      </c>
      <c r="K36" s="7">
        <f t="shared" si="0"/>
        <v>1.5656666666666668</v>
      </c>
      <c r="L36" s="3" t="s">
        <v>19</v>
      </c>
      <c r="M36" s="3" t="str">
        <f>IF(L36="Sí","Atraso heredado",IF(K36&lt;[1]Parámetros!$E$13,"Adelantado",IF(K36&lt;=[1]Parámetros!$E$14,"En ventana ±10%","Fuera de ventana")))</f>
        <v>Fuera de ventana</v>
      </c>
      <c r="N36" s="3">
        <f t="shared" si="1"/>
        <v>2026</v>
      </c>
    </row>
    <row r="37" spans="1:14" x14ac:dyDescent="0.3">
      <c r="A37" s="3">
        <v>12</v>
      </c>
      <c r="B37" s="4" t="s">
        <v>40</v>
      </c>
      <c r="C37" s="3" t="s">
        <v>19</v>
      </c>
      <c r="D37" s="5">
        <v>46332</v>
      </c>
      <c r="E37" s="5">
        <v>46354</v>
      </c>
      <c r="F37" s="3">
        <v>23</v>
      </c>
      <c r="G37" s="4" t="s">
        <v>20</v>
      </c>
      <c r="H37" s="3" t="s">
        <v>21</v>
      </c>
      <c r="I37" s="6">
        <v>16584</v>
      </c>
      <c r="J37" s="6">
        <f>INDEX([1]Parámetros!$C$4:$C$10,MATCH(G37,[1]Parámetros!$A$4:$A$10,0))</f>
        <v>12000</v>
      </c>
      <c r="K37" s="7">
        <f t="shared" si="0"/>
        <v>1.3819999999999999</v>
      </c>
      <c r="L37" s="3" t="s">
        <v>16</v>
      </c>
      <c r="M37" s="3" t="str">
        <f>IF(L37="Sí","Atraso heredado",IF(K37&lt;[1]Parámetros!$E$13,"Adelantado",IF(K37&lt;=[1]Parámetros!$E$14,"En ventana ±10%","Fuera de ventana")))</f>
        <v>Atraso heredado</v>
      </c>
      <c r="N37" s="3">
        <f t="shared" si="1"/>
        <v>2026</v>
      </c>
    </row>
    <row r="38" spans="1:14" x14ac:dyDescent="0.3">
      <c r="A38" s="3">
        <v>12</v>
      </c>
      <c r="B38" s="4" t="s">
        <v>40</v>
      </c>
      <c r="C38" s="3" t="s">
        <v>19</v>
      </c>
      <c r="D38" s="5">
        <v>46332</v>
      </c>
      <c r="E38" s="5">
        <v>46354</v>
      </c>
      <c r="F38" s="3">
        <v>23</v>
      </c>
      <c r="G38" s="4" t="s">
        <v>22</v>
      </c>
      <c r="H38" s="3" t="s">
        <v>23</v>
      </c>
      <c r="I38" s="6">
        <v>16584</v>
      </c>
      <c r="J38" s="6">
        <f>INDEX([1]Parámetros!$C$4:$C$10,MATCH(G38,[1]Parámetros!$A$4:$A$10,0))</f>
        <v>12000</v>
      </c>
      <c r="K38" s="7">
        <f t="shared" si="0"/>
        <v>1.3819999999999999</v>
      </c>
      <c r="L38" s="3" t="s">
        <v>16</v>
      </c>
      <c r="M38" s="3" t="str">
        <f>IF(L38="Sí","Atraso heredado",IF(K38&lt;[1]Parámetros!$E$13,"Adelantado",IF(K38&lt;=[1]Parámetros!$E$14,"En ventana ±10%","Fuera de ventana")))</f>
        <v>Atraso heredado</v>
      </c>
      <c r="N38" s="3">
        <f t="shared" si="1"/>
        <v>2026</v>
      </c>
    </row>
    <row r="39" spans="1:14" x14ac:dyDescent="0.3">
      <c r="A39" s="3">
        <v>12</v>
      </c>
      <c r="B39" s="4" t="s">
        <v>40</v>
      </c>
      <c r="C39" s="3" t="s">
        <v>19</v>
      </c>
      <c r="D39" s="5">
        <v>46332</v>
      </c>
      <c r="E39" s="5">
        <v>46354</v>
      </c>
      <c r="F39" s="3">
        <v>23</v>
      </c>
      <c r="G39" s="4" t="s">
        <v>33</v>
      </c>
      <c r="H39" s="3" t="s">
        <v>34</v>
      </c>
      <c r="I39" s="6">
        <v>10492</v>
      </c>
      <c r="J39" s="6">
        <f>INDEX([1]Parámetros!$C$4:$C$10,MATCH(G39,[1]Parámetros!$A$4:$A$10,0))</f>
        <v>12000</v>
      </c>
      <c r="K39" s="7">
        <f t="shared" si="0"/>
        <v>0.8743333333333333</v>
      </c>
      <c r="L39" s="3" t="s">
        <v>19</v>
      </c>
      <c r="M39" s="3" t="str">
        <f>IF(L39="Sí","Atraso heredado",IF(K39&lt;[1]Parámetros!$E$13,"Adelantado",IF(K39&lt;=[1]Parámetros!$E$14,"En ventana ±10%","Fuera de ventana")))</f>
        <v>Adelantado</v>
      </c>
      <c r="N39" s="3">
        <f t="shared" si="1"/>
        <v>2026</v>
      </c>
    </row>
    <row r="40" spans="1:14" x14ac:dyDescent="0.3">
      <c r="A40" s="3">
        <v>12</v>
      </c>
      <c r="B40" s="4" t="s">
        <v>40</v>
      </c>
      <c r="C40" s="3" t="s">
        <v>19</v>
      </c>
      <c r="D40" s="5">
        <v>46332</v>
      </c>
      <c r="E40" s="5">
        <v>46354</v>
      </c>
      <c r="F40" s="3">
        <v>23</v>
      </c>
      <c r="G40" s="4" t="s">
        <v>31</v>
      </c>
      <c r="H40" s="3" t="s">
        <v>32</v>
      </c>
      <c r="I40" s="6">
        <v>11049</v>
      </c>
      <c r="J40" s="6">
        <f>INDEX([1]Parámetros!$C$4:$C$10,MATCH(G40,[1]Parámetros!$A$4:$A$10,0))</f>
        <v>6000</v>
      </c>
      <c r="K40" s="7">
        <f t="shared" si="0"/>
        <v>1.8414999999999999</v>
      </c>
      <c r="L40" s="3" t="s">
        <v>16</v>
      </c>
      <c r="M40" s="3" t="str">
        <f>IF(L40="Sí","Atraso heredado",IF(K40&lt;[1]Parámetros!$E$13,"Adelantado",IF(K40&lt;=[1]Parámetros!$E$14,"En ventana ±10%","Fuera de ventana")))</f>
        <v>Atraso heredado</v>
      </c>
      <c r="N40" s="3">
        <f t="shared" si="1"/>
        <v>2026</v>
      </c>
    </row>
    <row r="41" spans="1:14" x14ac:dyDescent="0.3">
      <c r="A41" s="3">
        <v>12</v>
      </c>
      <c r="B41" s="4" t="s">
        <v>40</v>
      </c>
      <c r="C41" s="3" t="s">
        <v>19</v>
      </c>
      <c r="D41" s="5">
        <v>46332</v>
      </c>
      <c r="E41" s="5">
        <v>46354</v>
      </c>
      <c r="F41" s="3">
        <v>23</v>
      </c>
      <c r="G41" s="4" t="s">
        <v>27</v>
      </c>
      <c r="H41" s="3" t="s">
        <v>28</v>
      </c>
      <c r="I41" s="6">
        <v>4436</v>
      </c>
      <c r="J41" s="6">
        <f>INDEX([1]Parámetros!$C$4:$C$10,MATCH(G41,[1]Parámetros!$A$4:$A$10,0))</f>
        <v>3000</v>
      </c>
      <c r="K41" s="7">
        <f t="shared" si="0"/>
        <v>1.4786666666666666</v>
      </c>
      <c r="L41" s="3" t="s">
        <v>19</v>
      </c>
      <c r="M41" s="3" t="str">
        <f>IF(L41="Sí","Atraso heredado",IF(K41&lt;[1]Parámetros!$E$13,"Adelantado",IF(K41&lt;=[1]Parámetros!$E$14,"En ventana ±10%","Fuera de ventana")))</f>
        <v>Fuera de ventana</v>
      </c>
      <c r="N41" s="3">
        <f t="shared" si="1"/>
        <v>2026</v>
      </c>
    </row>
    <row r="42" spans="1:14" x14ac:dyDescent="0.3">
      <c r="A42" s="3">
        <v>13</v>
      </c>
      <c r="B42" s="4" t="s">
        <v>37</v>
      </c>
      <c r="C42" s="3" t="s">
        <v>16</v>
      </c>
      <c r="D42" s="5">
        <v>46355</v>
      </c>
      <c r="E42" s="5">
        <v>46356</v>
      </c>
      <c r="F42" s="3">
        <v>2</v>
      </c>
      <c r="G42" s="4" t="s">
        <v>17</v>
      </c>
      <c r="H42" s="3" t="s">
        <v>18</v>
      </c>
      <c r="I42" s="6">
        <v>1734</v>
      </c>
      <c r="J42" s="6">
        <f>INDEX([1]Parámetros!$C$4:$C$10,MATCH(G42,[1]Parámetros!$A$4:$A$10,0))</f>
        <v>1500</v>
      </c>
      <c r="K42" s="7">
        <f t="shared" si="0"/>
        <v>1.1559999999999999</v>
      </c>
      <c r="L42" s="3" t="s">
        <v>19</v>
      </c>
      <c r="M42" s="3" t="str">
        <f>IF(L42="Sí","Atraso heredado",IF(K42&lt;[1]Parámetros!$E$13,"Adelantado",IF(K42&lt;=[1]Parámetros!$E$14,"En ventana ±10%","Fuera de ventana")))</f>
        <v>Fuera de ventana</v>
      </c>
      <c r="N42" s="3">
        <f t="shared" si="1"/>
        <v>2026</v>
      </c>
    </row>
    <row r="43" spans="1:14" x14ac:dyDescent="0.3">
      <c r="A43" s="3">
        <v>14</v>
      </c>
      <c r="B43" s="4" t="s">
        <v>35</v>
      </c>
      <c r="C43" s="3" t="s">
        <v>16</v>
      </c>
      <c r="D43" s="5">
        <v>46357</v>
      </c>
      <c r="E43" s="5">
        <v>46379</v>
      </c>
      <c r="F43" s="3">
        <v>23</v>
      </c>
      <c r="G43" s="4" t="s">
        <v>17</v>
      </c>
      <c r="H43" s="3" t="s">
        <v>18</v>
      </c>
      <c r="I43" s="6">
        <v>2424</v>
      </c>
      <c r="J43" s="6">
        <f>INDEX([1]Parámetros!$C$4:$C$10,MATCH(G43,[1]Parámetros!$A$4:$A$10,0))</f>
        <v>1500</v>
      </c>
      <c r="K43" s="7">
        <f t="shared" si="0"/>
        <v>1.6160000000000001</v>
      </c>
      <c r="L43" s="3" t="s">
        <v>19</v>
      </c>
      <c r="M43" s="3" t="str">
        <f>IF(L43="Sí","Atraso heredado",IF(K43&lt;[1]Parámetros!$E$13,"Adelantado",IF(K43&lt;=[1]Parámetros!$E$14,"En ventana ±10%","Fuera de ventana")))</f>
        <v>Fuera de ventana</v>
      </c>
      <c r="N43" s="3">
        <f t="shared" si="1"/>
        <v>2026</v>
      </c>
    </row>
    <row r="44" spans="1:14" x14ac:dyDescent="0.3">
      <c r="A44" s="3">
        <v>14</v>
      </c>
      <c r="B44" s="4" t="s">
        <v>35</v>
      </c>
      <c r="C44" s="3" t="s">
        <v>16</v>
      </c>
      <c r="D44" s="5">
        <v>46357</v>
      </c>
      <c r="E44" s="5">
        <v>46379</v>
      </c>
      <c r="F44" s="3">
        <v>23</v>
      </c>
      <c r="G44" s="4" t="s">
        <v>20</v>
      </c>
      <c r="H44" s="3" t="s">
        <v>21</v>
      </c>
      <c r="I44" s="6">
        <v>10998</v>
      </c>
      <c r="J44" s="6">
        <f>INDEX([1]Parámetros!$C$4:$C$10,MATCH(G44,[1]Parámetros!$A$4:$A$10,0))</f>
        <v>12000</v>
      </c>
      <c r="K44" s="7">
        <f t="shared" si="0"/>
        <v>0.91649999999999998</v>
      </c>
      <c r="L44" s="3" t="s">
        <v>19</v>
      </c>
      <c r="M44" s="3" t="str">
        <f>IF(L44="Sí","Atraso heredado",IF(K44&lt;[1]Parámetros!$E$13,"Adelantado",IF(K44&lt;=[1]Parámetros!$E$14,"En ventana ±10%","Fuera de ventana")))</f>
        <v>En ventana ±10%</v>
      </c>
      <c r="N44" s="3">
        <f t="shared" si="1"/>
        <v>2026</v>
      </c>
    </row>
    <row r="45" spans="1:14" x14ac:dyDescent="0.3">
      <c r="A45" s="3">
        <v>14</v>
      </c>
      <c r="B45" s="4" t="s">
        <v>35</v>
      </c>
      <c r="C45" s="3" t="s">
        <v>16</v>
      </c>
      <c r="D45" s="5">
        <v>46357</v>
      </c>
      <c r="E45" s="5">
        <v>46379</v>
      </c>
      <c r="F45" s="3">
        <v>23</v>
      </c>
      <c r="G45" s="4" t="s">
        <v>22</v>
      </c>
      <c r="H45" s="3" t="s">
        <v>23</v>
      </c>
      <c r="I45" s="6">
        <v>12635</v>
      </c>
      <c r="J45" s="6">
        <f>INDEX([1]Parámetros!$C$4:$C$10,MATCH(G45,[1]Parámetros!$A$4:$A$10,0))</f>
        <v>12000</v>
      </c>
      <c r="K45" s="7">
        <f t="shared" si="0"/>
        <v>1.0529166666666667</v>
      </c>
      <c r="L45" s="3" t="s">
        <v>19</v>
      </c>
      <c r="M45" s="3" t="str">
        <f>IF(L45="Sí","Atraso heredado",IF(K45&lt;[1]Parámetros!$E$13,"Adelantado",IF(K45&lt;=[1]Parámetros!$E$14,"En ventana ±10%","Fuera de ventana")))</f>
        <v>En ventana ±10%</v>
      </c>
      <c r="N45" s="3">
        <f t="shared" si="1"/>
        <v>2026</v>
      </c>
    </row>
    <row r="46" spans="1:14" x14ac:dyDescent="0.3">
      <c r="A46" s="3">
        <v>14</v>
      </c>
      <c r="B46" s="4" t="s">
        <v>35</v>
      </c>
      <c r="C46" s="3" t="s">
        <v>16</v>
      </c>
      <c r="D46" s="5">
        <v>46357</v>
      </c>
      <c r="E46" s="5">
        <v>46379</v>
      </c>
      <c r="F46" s="3">
        <v>23</v>
      </c>
      <c r="G46" s="4" t="s">
        <v>33</v>
      </c>
      <c r="H46" s="3" t="s">
        <v>34</v>
      </c>
      <c r="I46" s="6">
        <v>13044</v>
      </c>
      <c r="J46" s="6">
        <f>INDEX([1]Parámetros!$C$4:$C$10,MATCH(G46,[1]Parámetros!$A$4:$A$10,0))</f>
        <v>12000</v>
      </c>
      <c r="K46" s="7">
        <f t="shared" si="0"/>
        <v>1.087</v>
      </c>
      <c r="L46" s="3" t="s">
        <v>19</v>
      </c>
      <c r="M46" s="3" t="str">
        <f>IF(L46="Sí","Atraso heredado",IF(K46&lt;[1]Parámetros!$E$13,"Adelantado",IF(K46&lt;=[1]Parámetros!$E$14,"En ventana ±10%","Fuera de ventana")))</f>
        <v>En ventana ±10%</v>
      </c>
      <c r="N46" s="3">
        <f t="shared" si="1"/>
        <v>2026</v>
      </c>
    </row>
    <row r="47" spans="1:14" x14ac:dyDescent="0.3">
      <c r="A47" s="3">
        <v>14</v>
      </c>
      <c r="B47" s="4" t="s">
        <v>35</v>
      </c>
      <c r="C47" s="3" t="s">
        <v>16</v>
      </c>
      <c r="D47" s="5">
        <v>46357</v>
      </c>
      <c r="E47" s="5">
        <v>46379</v>
      </c>
      <c r="F47" s="3">
        <v>23</v>
      </c>
      <c r="G47" s="4" t="s">
        <v>27</v>
      </c>
      <c r="H47" s="3" t="s">
        <v>28</v>
      </c>
      <c r="I47" s="6">
        <v>3849</v>
      </c>
      <c r="J47" s="6">
        <f>INDEX([1]Parámetros!$C$4:$C$10,MATCH(G47,[1]Parámetros!$A$4:$A$10,0))</f>
        <v>3000</v>
      </c>
      <c r="K47" s="7">
        <f t="shared" si="0"/>
        <v>1.2829999999999999</v>
      </c>
      <c r="L47" s="3" t="s">
        <v>19</v>
      </c>
      <c r="M47" s="3" t="str">
        <f>IF(L47="Sí","Atraso heredado",IF(K47&lt;[1]Parámetros!$E$13,"Adelantado",IF(K47&lt;=[1]Parámetros!$E$14,"En ventana ±10%","Fuera de ventana")))</f>
        <v>Fuera de ventana</v>
      </c>
      <c r="N47" s="3">
        <f t="shared" si="1"/>
        <v>2026</v>
      </c>
    </row>
    <row r="48" spans="1:14" x14ac:dyDescent="0.3">
      <c r="A48" s="3">
        <v>15</v>
      </c>
      <c r="B48" s="4" t="s">
        <v>41</v>
      </c>
      <c r="C48" s="3" t="s">
        <v>19</v>
      </c>
      <c r="D48" s="5">
        <v>46380</v>
      </c>
      <c r="E48" s="5">
        <v>46402</v>
      </c>
      <c r="F48" s="3">
        <v>23</v>
      </c>
      <c r="G48" s="4" t="s">
        <v>20</v>
      </c>
      <c r="H48" s="3" t="s">
        <v>21</v>
      </c>
      <c r="I48" s="6">
        <v>14058</v>
      </c>
      <c r="J48" s="6">
        <f>INDEX([1]Parámetros!$C$4:$C$10,MATCH(G48,[1]Parámetros!$A$4:$A$10,0))</f>
        <v>12000</v>
      </c>
      <c r="K48" s="7">
        <f t="shared" si="0"/>
        <v>1.1715</v>
      </c>
      <c r="L48" s="3" t="s">
        <v>19</v>
      </c>
      <c r="M48" s="3" t="str">
        <f>IF(L48="Sí","Atraso heredado",IF(K48&lt;[1]Parámetros!$E$13,"Adelantado",IF(K48&lt;=[1]Parámetros!$E$14,"En ventana ±10%","Fuera de ventana")))</f>
        <v>Fuera de ventana</v>
      </c>
      <c r="N48" s="3">
        <f t="shared" si="1"/>
        <v>2026</v>
      </c>
    </row>
    <row r="49" spans="1:14" x14ac:dyDescent="0.3">
      <c r="A49" s="3">
        <v>15</v>
      </c>
      <c r="B49" s="4" t="s">
        <v>41</v>
      </c>
      <c r="C49" s="3" t="s">
        <v>19</v>
      </c>
      <c r="D49" s="5">
        <v>46380</v>
      </c>
      <c r="E49" s="5">
        <v>46402</v>
      </c>
      <c r="F49" s="3">
        <v>23</v>
      </c>
      <c r="G49" s="4" t="s">
        <v>22</v>
      </c>
      <c r="H49" s="3" t="s">
        <v>23</v>
      </c>
      <c r="I49" s="6">
        <v>14058</v>
      </c>
      <c r="J49" s="6">
        <f>INDEX([1]Parámetros!$C$4:$C$10,MATCH(G49,[1]Parámetros!$A$4:$A$10,0))</f>
        <v>12000</v>
      </c>
      <c r="K49" s="7">
        <f t="shared" si="0"/>
        <v>1.1715</v>
      </c>
      <c r="L49" s="3" t="s">
        <v>19</v>
      </c>
      <c r="M49" s="3" t="str">
        <f>IF(L49="Sí","Atraso heredado",IF(K49&lt;[1]Parámetros!$E$13,"Adelantado",IF(K49&lt;=[1]Parámetros!$E$14,"En ventana ±10%","Fuera de ventana")))</f>
        <v>Fuera de ventana</v>
      </c>
      <c r="N49" s="3">
        <f t="shared" si="1"/>
        <v>2026</v>
      </c>
    </row>
    <row r="50" spans="1:14" x14ac:dyDescent="0.3">
      <c r="A50" s="3">
        <v>15</v>
      </c>
      <c r="B50" s="4" t="s">
        <v>41</v>
      </c>
      <c r="C50" s="3" t="s">
        <v>19</v>
      </c>
      <c r="D50" s="5">
        <v>46380</v>
      </c>
      <c r="E50" s="5">
        <v>46402</v>
      </c>
      <c r="F50" s="3">
        <v>23</v>
      </c>
      <c r="G50" s="4" t="s">
        <v>33</v>
      </c>
      <c r="H50" s="3" t="s">
        <v>34</v>
      </c>
      <c r="I50" s="6">
        <v>14058</v>
      </c>
      <c r="J50" s="6">
        <f>INDEX([1]Parámetros!$C$4:$C$10,MATCH(G50,[1]Parámetros!$A$4:$A$10,0))</f>
        <v>12000</v>
      </c>
      <c r="K50" s="7">
        <f t="shared" si="0"/>
        <v>1.1715</v>
      </c>
      <c r="L50" s="3" t="s">
        <v>19</v>
      </c>
      <c r="M50" s="3" t="str">
        <f>IF(L50="Sí","Atraso heredado",IF(K50&lt;[1]Parámetros!$E$13,"Adelantado",IF(K50&lt;=[1]Parámetros!$E$14,"En ventana ±10%","Fuera de ventana")))</f>
        <v>Fuera de ventana</v>
      </c>
      <c r="N50" s="3">
        <f t="shared" si="1"/>
        <v>2026</v>
      </c>
    </row>
    <row r="51" spans="1:14" x14ac:dyDescent="0.3">
      <c r="A51" s="3">
        <v>15</v>
      </c>
      <c r="B51" s="4" t="s">
        <v>41</v>
      </c>
      <c r="C51" s="3" t="s">
        <v>19</v>
      </c>
      <c r="D51" s="5">
        <v>46380</v>
      </c>
      <c r="E51" s="5">
        <v>46402</v>
      </c>
      <c r="F51" s="3">
        <v>23</v>
      </c>
      <c r="G51" s="4" t="s">
        <v>31</v>
      </c>
      <c r="H51" s="3" t="s">
        <v>32</v>
      </c>
      <c r="I51" s="6">
        <v>7143</v>
      </c>
      <c r="J51" s="6">
        <f>INDEX([1]Parámetros!$C$4:$C$10,MATCH(G51,[1]Parámetros!$A$4:$A$10,0))</f>
        <v>6000</v>
      </c>
      <c r="K51" s="7">
        <f t="shared" si="0"/>
        <v>1.1904999999999999</v>
      </c>
      <c r="L51" s="3" t="s">
        <v>19</v>
      </c>
      <c r="M51" s="3" t="str">
        <f>IF(L51="Sí","Atraso heredado",IF(K51&lt;[1]Parámetros!$E$13,"Adelantado",IF(K51&lt;=[1]Parámetros!$E$14,"En ventana ±10%","Fuera de ventana")))</f>
        <v>Fuera de ventana</v>
      </c>
      <c r="N51" s="3">
        <f t="shared" si="1"/>
        <v>2026</v>
      </c>
    </row>
    <row r="52" spans="1:14" x14ac:dyDescent="0.3">
      <c r="A52" s="3">
        <v>15</v>
      </c>
      <c r="B52" s="4" t="s">
        <v>41</v>
      </c>
      <c r="C52" s="3" t="s">
        <v>19</v>
      </c>
      <c r="D52" s="5">
        <v>46380</v>
      </c>
      <c r="E52" s="5">
        <v>46402</v>
      </c>
      <c r="F52" s="3">
        <v>23</v>
      </c>
      <c r="G52" s="4" t="s">
        <v>27</v>
      </c>
      <c r="H52" s="3" t="s">
        <v>28</v>
      </c>
      <c r="I52" s="6">
        <v>7143</v>
      </c>
      <c r="J52" s="6">
        <f>INDEX([1]Parámetros!$C$4:$C$10,MATCH(G52,[1]Parámetros!$A$4:$A$10,0))</f>
        <v>3000</v>
      </c>
      <c r="K52" s="7">
        <f t="shared" si="0"/>
        <v>2.3809999999999998</v>
      </c>
      <c r="L52" s="3" t="s">
        <v>16</v>
      </c>
      <c r="M52" s="3" t="str">
        <f>IF(L52="Sí","Atraso heredado",IF(K52&lt;[1]Parámetros!$E$13,"Adelantado",IF(K52&lt;=[1]Parámetros!$E$14,"En ventana ±10%","Fuera de ventana")))</f>
        <v>Atraso heredado</v>
      </c>
      <c r="N52" s="3">
        <f t="shared" si="1"/>
        <v>2026</v>
      </c>
    </row>
    <row r="53" spans="1:14" x14ac:dyDescent="0.3">
      <c r="A53" s="3">
        <v>16</v>
      </c>
      <c r="B53" s="4" t="s">
        <v>38</v>
      </c>
      <c r="C53" s="3" t="s">
        <v>16</v>
      </c>
      <c r="D53" s="5">
        <v>46403</v>
      </c>
      <c r="E53" s="5">
        <v>46404</v>
      </c>
      <c r="F53" s="3">
        <v>2</v>
      </c>
      <c r="G53" s="4" t="s">
        <v>17</v>
      </c>
      <c r="H53" s="3" t="s">
        <v>18</v>
      </c>
      <c r="I53" s="6">
        <v>2281</v>
      </c>
      <c r="J53" s="6">
        <f>INDEX([1]Parámetros!$C$4:$C$10,MATCH(G53,[1]Parámetros!$A$4:$A$10,0))</f>
        <v>1500</v>
      </c>
      <c r="K53" s="7">
        <f t="shared" si="0"/>
        <v>1.5206666666666666</v>
      </c>
      <c r="L53" s="3" t="s">
        <v>19</v>
      </c>
      <c r="M53" s="3" t="str">
        <f>IF(L53="Sí","Atraso heredado",IF(K53&lt;[1]Parámetros!$E$13,"Adelantado",IF(K53&lt;=[1]Parámetros!$E$14,"En ventana ±10%","Fuera de ventana")))</f>
        <v>Fuera de ventana</v>
      </c>
      <c r="N53" s="3">
        <f t="shared" si="1"/>
        <v>2027</v>
      </c>
    </row>
    <row r="54" spans="1:14" x14ac:dyDescent="0.3">
      <c r="A54" s="3">
        <v>17</v>
      </c>
      <c r="B54" s="4" t="s">
        <v>42</v>
      </c>
      <c r="C54" s="3" t="s">
        <v>19</v>
      </c>
      <c r="D54" s="5">
        <v>46405</v>
      </c>
      <c r="E54" s="5">
        <v>46427</v>
      </c>
      <c r="F54" s="3">
        <v>23</v>
      </c>
      <c r="G54" s="4" t="s">
        <v>20</v>
      </c>
      <c r="H54" s="3" t="s">
        <v>21</v>
      </c>
      <c r="I54" s="6">
        <v>12520</v>
      </c>
      <c r="J54" s="6">
        <f>INDEX([1]Parámetros!$C$4:$C$10,MATCH(G54,[1]Parámetros!$A$4:$A$10,0))</f>
        <v>12000</v>
      </c>
      <c r="K54" s="7">
        <f t="shared" si="0"/>
        <v>1.0433333333333332</v>
      </c>
      <c r="L54" s="3" t="s">
        <v>19</v>
      </c>
      <c r="M54" s="3" t="str">
        <f>IF(L54="Sí","Atraso heredado",IF(K54&lt;[1]Parámetros!$E$13,"Adelantado",IF(K54&lt;=[1]Parámetros!$E$14,"En ventana ±10%","Fuera de ventana")))</f>
        <v>En ventana ±10%</v>
      </c>
      <c r="N54" s="3">
        <f t="shared" si="1"/>
        <v>2027</v>
      </c>
    </row>
    <row r="55" spans="1:14" x14ac:dyDescent="0.3">
      <c r="A55" s="3">
        <v>17</v>
      </c>
      <c r="B55" s="4" t="s">
        <v>42</v>
      </c>
      <c r="C55" s="3" t="s">
        <v>19</v>
      </c>
      <c r="D55" s="5">
        <v>46405</v>
      </c>
      <c r="E55" s="5">
        <v>46427</v>
      </c>
      <c r="F55" s="3">
        <v>23</v>
      </c>
      <c r="G55" s="4" t="s">
        <v>22</v>
      </c>
      <c r="H55" s="3" t="s">
        <v>23</v>
      </c>
      <c r="I55" s="6">
        <v>12520</v>
      </c>
      <c r="J55" s="6">
        <f>INDEX([1]Parámetros!$C$4:$C$10,MATCH(G55,[1]Parámetros!$A$4:$A$10,0))</f>
        <v>12000</v>
      </c>
      <c r="K55" s="7">
        <f t="shared" si="0"/>
        <v>1.0433333333333332</v>
      </c>
      <c r="L55" s="3" t="s">
        <v>19</v>
      </c>
      <c r="M55" s="3" t="str">
        <f>IF(L55="Sí","Atraso heredado",IF(K55&lt;[1]Parámetros!$E$13,"Adelantado",IF(K55&lt;=[1]Parámetros!$E$14,"En ventana ±10%","Fuera de ventana")))</f>
        <v>En ventana ±10%</v>
      </c>
      <c r="N55" s="3">
        <f t="shared" si="1"/>
        <v>2027</v>
      </c>
    </row>
    <row r="56" spans="1:14" x14ac:dyDescent="0.3">
      <c r="A56" s="3">
        <v>17</v>
      </c>
      <c r="B56" s="4" t="s">
        <v>42</v>
      </c>
      <c r="C56" s="3" t="s">
        <v>19</v>
      </c>
      <c r="D56" s="5">
        <v>46405</v>
      </c>
      <c r="E56" s="5">
        <v>46427</v>
      </c>
      <c r="F56" s="3">
        <v>23</v>
      </c>
      <c r="G56" s="4" t="s">
        <v>33</v>
      </c>
      <c r="H56" s="3" t="s">
        <v>34</v>
      </c>
      <c r="I56" s="6">
        <v>12520</v>
      </c>
      <c r="J56" s="6">
        <f>INDEX([1]Parámetros!$C$4:$C$10,MATCH(G56,[1]Parámetros!$A$4:$A$10,0))</f>
        <v>12000</v>
      </c>
      <c r="K56" s="7">
        <f t="shared" si="0"/>
        <v>1.0433333333333332</v>
      </c>
      <c r="L56" s="3" t="s">
        <v>19</v>
      </c>
      <c r="M56" s="3" t="str">
        <f>IF(L56="Sí","Atraso heredado",IF(K56&lt;[1]Parámetros!$E$13,"Adelantado",IF(K56&lt;=[1]Parámetros!$E$14,"En ventana ±10%","Fuera de ventana")))</f>
        <v>En ventana ±10%</v>
      </c>
      <c r="N56" s="3">
        <f t="shared" si="1"/>
        <v>2027</v>
      </c>
    </row>
    <row r="57" spans="1:14" x14ac:dyDescent="0.3">
      <c r="A57" s="3">
        <v>17</v>
      </c>
      <c r="B57" s="4" t="s">
        <v>42</v>
      </c>
      <c r="C57" s="3" t="s">
        <v>19</v>
      </c>
      <c r="D57" s="5">
        <v>46405</v>
      </c>
      <c r="E57" s="5">
        <v>46427</v>
      </c>
      <c r="F57" s="3">
        <v>23</v>
      </c>
      <c r="G57" s="4" t="s">
        <v>24</v>
      </c>
      <c r="H57" s="3" t="s">
        <v>25</v>
      </c>
      <c r="I57" s="6">
        <v>27895</v>
      </c>
      <c r="J57" s="6">
        <f>INDEX([1]Parámetros!$C$4:$C$10,MATCH(G57,[1]Parámetros!$A$4:$A$10,0))</f>
        <v>24000</v>
      </c>
      <c r="K57" s="7">
        <f t="shared" si="0"/>
        <v>1.1622916666666667</v>
      </c>
      <c r="L57" s="3" t="s">
        <v>19</v>
      </c>
      <c r="M57" s="3" t="str">
        <f>IF(L57="Sí","Atraso heredado",IF(K57&lt;[1]Parámetros!$E$13,"Adelantado",IF(K57&lt;=[1]Parámetros!$E$14,"En ventana ±10%","Fuera de ventana")))</f>
        <v>Fuera de ventana</v>
      </c>
      <c r="N57" s="3">
        <f t="shared" si="1"/>
        <v>2027</v>
      </c>
    </row>
    <row r="58" spans="1:14" x14ac:dyDescent="0.3">
      <c r="A58" s="3">
        <v>17</v>
      </c>
      <c r="B58" s="4" t="s">
        <v>42</v>
      </c>
      <c r="C58" s="3" t="s">
        <v>19</v>
      </c>
      <c r="D58" s="5">
        <v>46405</v>
      </c>
      <c r="E58" s="5">
        <v>46427</v>
      </c>
      <c r="F58" s="3">
        <v>23</v>
      </c>
      <c r="G58" s="4" t="s">
        <v>27</v>
      </c>
      <c r="H58" s="3" t="s">
        <v>28</v>
      </c>
      <c r="I58" s="6">
        <v>6126</v>
      </c>
      <c r="J58" s="6">
        <f>INDEX([1]Parámetros!$C$4:$C$10,MATCH(G58,[1]Parámetros!$A$4:$A$10,0))</f>
        <v>3000</v>
      </c>
      <c r="K58" s="7">
        <f t="shared" si="0"/>
        <v>2.0419999999999998</v>
      </c>
      <c r="L58" s="3" t="s">
        <v>19</v>
      </c>
      <c r="M58" s="3" t="str">
        <f>IF(L58="Sí","Atraso heredado",IF(K58&lt;[1]Parámetros!$E$13,"Adelantado",IF(K58&lt;=[1]Parámetros!$E$14,"En ventana ±10%","Fuera de ventana")))</f>
        <v>Fuera de ventana</v>
      </c>
      <c r="N58" s="3">
        <f t="shared" si="1"/>
        <v>2027</v>
      </c>
    </row>
    <row r="59" spans="1:14" x14ac:dyDescent="0.3">
      <c r="A59" s="3">
        <v>18</v>
      </c>
      <c r="B59" s="4" t="s">
        <v>29</v>
      </c>
      <c r="C59" s="3" t="s">
        <v>16</v>
      </c>
      <c r="D59" s="5">
        <v>46428</v>
      </c>
      <c r="E59" s="5">
        <v>46439</v>
      </c>
      <c r="F59" s="3">
        <v>12</v>
      </c>
      <c r="G59" s="4" t="s">
        <v>17</v>
      </c>
      <c r="H59" s="3" t="s">
        <v>18</v>
      </c>
      <c r="I59" s="6">
        <v>4633</v>
      </c>
      <c r="J59" s="6">
        <f>INDEX([1]Parámetros!$C$4:$C$10,MATCH(G59,[1]Parámetros!$A$4:$A$10,0))</f>
        <v>1500</v>
      </c>
      <c r="K59" s="7">
        <f t="shared" si="0"/>
        <v>3.0886666666666667</v>
      </c>
      <c r="L59" s="3" t="s">
        <v>19</v>
      </c>
      <c r="M59" s="3" t="str">
        <f>IF(L59="Sí","Atraso heredado",IF(K59&lt;[1]Parámetros!$E$13,"Adelantado",IF(K59&lt;=[1]Parámetros!$E$14,"En ventana ±10%","Fuera de ventana")))</f>
        <v>Fuera de ventana</v>
      </c>
      <c r="N59" s="3">
        <f t="shared" si="1"/>
        <v>2027</v>
      </c>
    </row>
    <row r="60" spans="1:14" x14ac:dyDescent="0.3">
      <c r="A60" s="3">
        <v>18</v>
      </c>
      <c r="B60" s="4" t="s">
        <v>29</v>
      </c>
      <c r="C60" s="3" t="s">
        <v>16</v>
      </c>
      <c r="D60" s="5">
        <v>46428</v>
      </c>
      <c r="E60" s="5">
        <v>46439</v>
      </c>
      <c r="F60" s="3">
        <v>12</v>
      </c>
      <c r="G60" s="4" t="s">
        <v>31</v>
      </c>
      <c r="H60" s="3" t="s">
        <v>32</v>
      </c>
      <c r="I60" s="6">
        <v>6120</v>
      </c>
      <c r="J60" s="6">
        <f>INDEX([1]Parámetros!$C$4:$C$10,MATCH(G60,[1]Parámetros!$A$4:$A$10,0))</f>
        <v>6000</v>
      </c>
      <c r="K60" s="7">
        <f t="shared" si="0"/>
        <v>1.02</v>
      </c>
      <c r="L60" s="3" t="s">
        <v>19</v>
      </c>
      <c r="M60" s="3" t="str">
        <f>IF(L60="Sí","Atraso heredado",IF(K60&lt;[1]Parámetros!$E$13,"Adelantado",IF(K60&lt;=[1]Parámetros!$E$14,"En ventana ±10%","Fuera de ventana")))</f>
        <v>En ventana ±10%</v>
      </c>
      <c r="N60" s="3">
        <f t="shared" si="1"/>
        <v>2027</v>
      </c>
    </row>
    <row r="61" spans="1:14" x14ac:dyDescent="0.3">
      <c r="A61" s="3">
        <v>18</v>
      </c>
      <c r="B61" s="4" t="s">
        <v>29</v>
      </c>
      <c r="C61" s="3" t="s">
        <v>16</v>
      </c>
      <c r="D61" s="5">
        <v>46428</v>
      </c>
      <c r="E61" s="5">
        <v>46439</v>
      </c>
      <c r="F61" s="3">
        <v>12</v>
      </c>
      <c r="G61" s="4" t="s">
        <v>33</v>
      </c>
      <c r="H61" s="3" t="s">
        <v>34</v>
      </c>
      <c r="I61" s="6">
        <v>13547</v>
      </c>
      <c r="J61" s="6">
        <f>INDEX([1]Parámetros!$C$4:$C$10,MATCH(G61,[1]Parámetros!$A$4:$A$10,0))</f>
        <v>12000</v>
      </c>
      <c r="K61" s="7">
        <f t="shared" si="0"/>
        <v>1.1289166666666666</v>
      </c>
      <c r="L61" s="3" t="s">
        <v>19</v>
      </c>
      <c r="M61" s="3" t="str">
        <f>IF(L61="Sí","Atraso heredado",IF(K61&lt;[1]Parámetros!$E$13,"Adelantado",IF(K61&lt;=[1]Parámetros!$E$14,"En ventana ±10%","Fuera de ventana")))</f>
        <v>Fuera de ventana</v>
      </c>
      <c r="N61" s="3">
        <f t="shared" si="1"/>
        <v>2027</v>
      </c>
    </row>
    <row r="62" spans="1:14" x14ac:dyDescent="0.3">
      <c r="A62" s="3">
        <v>18</v>
      </c>
      <c r="B62" s="4" t="s">
        <v>29</v>
      </c>
      <c r="C62" s="3" t="s">
        <v>16</v>
      </c>
      <c r="D62" s="5">
        <v>46428</v>
      </c>
      <c r="E62" s="5">
        <v>46439</v>
      </c>
      <c r="F62" s="3">
        <v>12</v>
      </c>
      <c r="G62" s="4" t="s">
        <v>27</v>
      </c>
      <c r="H62" s="3" t="s">
        <v>28</v>
      </c>
      <c r="I62" s="6">
        <v>6120</v>
      </c>
      <c r="J62" s="6">
        <f>INDEX([1]Parámetros!$C$4:$C$10,MATCH(G62,[1]Parámetros!$A$4:$A$10,0))</f>
        <v>3000</v>
      </c>
      <c r="K62" s="7">
        <f t="shared" si="0"/>
        <v>2.04</v>
      </c>
      <c r="L62" s="3" t="s">
        <v>19</v>
      </c>
      <c r="M62" s="3" t="str">
        <f>IF(L62="Sí","Atraso heredado",IF(K62&lt;[1]Parámetros!$E$13,"Adelantado",IF(K62&lt;=[1]Parámetros!$E$14,"En ventana ±10%","Fuera de ventana")))</f>
        <v>Fuera de ventana</v>
      </c>
      <c r="N62" s="3">
        <f t="shared" si="1"/>
        <v>2027</v>
      </c>
    </row>
    <row r="63" spans="1:14" x14ac:dyDescent="0.3">
      <c r="A63" s="3">
        <v>19</v>
      </c>
      <c r="B63" s="4" t="s">
        <v>38</v>
      </c>
      <c r="C63" s="3" t="s">
        <v>16</v>
      </c>
      <c r="D63" s="5">
        <v>46440</v>
      </c>
      <c r="E63" s="5">
        <v>46443</v>
      </c>
      <c r="F63" s="3">
        <v>4</v>
      </c>
      <c r="G63" s="4" t="s">
        <v>27</v>
      </c>
      <c r="H63" s="3" t="s">
        <v>28</v>
      </c>
      <c r="I63" s="6">
        <v>3113</v>
      </c>
      <c r="J63" s="6">
        <f>INDEX([1]Parámetros!$C$4:$C$10,MATCH(G63,[1]Parámetros!$A$4:$A$10,0))</f>
        <v>3000</v>
      </c>
      <c r="K63" s="7">
        <f t="shared" si="0"/>
        <v>1.0376666666666667</v>
      </c>
      <c r="L63" s="3" t="s">
        <v>19</v>
      </c>
      <c r="M63" s="3" t="str">
        <f>IF(L63="Sí","Atraso heredado",IF(K63&lt;[1]Parámetros!$E$13,"Adelantado",IF(K63&lt;=[1]Parámetros!$E$14,"En ventana ±10%","Fuera de ventana")))</f>
        <v>En ventana ±10%</v>
      </c>
      <c r="N63" s="3">
        <f t="shared" si="1"/>
        <v>2027</v>
      </c>
    </row>
    <row r="64" spans="1:14" x14ac:dyDescent="0.3">
      <c r="A64" s="3">
        <v>20</v>
      </c>
      <c r="B64" s="4" t="s">
        <v>35</v>
      </c>
      <c r="C64" s="3" t="s">
        <v>16</v>
      </c>
      <c r="D64" s="5">
        <v>46444</v>
      </c>
      <c r="E64" s="5">
        <v>46445</v>
      </c>
      <c r="F64" s="3">
        <v>2</v>
      </c>
      <c r="G64" s="4" t="s">
        <v>17</v>
      </c>
      <c r="H64" s="3" t="s">
        <v>18</v>
      </c>
      <c r="I64" s="6">
        <v>1521</v>
      </c>
      <c r="J64" s="6">
        <f>INDEX([1]Parámetros!$C$4:$C$10,MATCH(G64,[1]Parámetros!$A$4:$A$10,0))</f>
        <v>1500</v>
      </c>
      <c r="K64" s="7">
        <f t="shared" si="0"/>
        <v>1.014</v>
      </c>
      <c r="L64" s="3" t="s">
        <v>19</v>
      </c>
      <c r="M64" s="3" t="str">
        <f>IF(L64="Sí","Atraso heredado",IF(K64&lt;[1]Parámetros!$E$13,"Adelantado",IF(K64&lt;=[1]Parámetros!$E$14,"En ventana ±10%","Fuera de ventana")))</f>
        <v>En ventana ±10%</v>
      </c>
      <c r="N64" s="3">
        <f t="shared" si="1"/>
        <v>2027</v>
      </c>
    </row>
    <row r="65" spans="1:14" x14ac:dyDescent="0.3">
      <c r="A65" s="3">
        <v>21</v>
      </c>
      <c r="B65" s="4" t="s">
        <v>43</v>
      </c>
      <c r="C65" s="3" t="s">
        <v>19</v>
      </c>
      <c r="D65" s="5">
        <v>46446</v>
      </c>
      <c r="E65" s="5">
        <v>46468</v>
      </c>
      <c r="F65" s="3">
        <v>23</v>
      </c>
      <c r="G65" s="4" t="s">
        <v>20</v>
      </c>
      <c r="H65" s="3" t="s">
        <v>21</v>
      </c>
      <c r="I65" s="6">
        <v>12425</v>
      </c>
      <c r="J65" s="6">
        <f>INDEX([1]Parámetros!$C$4:$C$10,MATCH(G65,[1]Parámetros!$A$4:$A$10,0))</f>
        <v>12000</v>
      </c>
      <c r="K65" s="7">
        <f t="shared" si="0"/>
        <v>1.0354166666666667</v>
      </c>
      <c r="L65" s="3" t="s">
        <v>19</v>
      </c>
      <c r="M65" s="3" t="str">
        <f>IF(L65="Sí","Atraso heredado",IF(K65&lt;[1]Parámetros!$E$13,"Adelantado",IF(K65&lt;=[1]Parámetros!$E$14,"En ventana ±10%","Fuera de ventana")))</f>
        <v>En ventana ±10%</v>
      </c>
      <c r="N65" s="3">
        <f t="shared" si="1"/>
        <v>2027</v>
      </c>
    </row>
    <row r="66" spans="1:14" x14ac:dyDescent="0.3">
      <c r="A66" s="3">
        <v>21</v>
      </c>
      <c r="B66" s="4" t="s">
        <v>43</v>
      </c>
      <c r="C66" s="3" t="s">
        <v>19</v>
      </c>
      <c r="D66" s="5">
        <v>46446</v>
      </c>
      <c r="E66" s="5">
        <v>46468</v>
      </c>
      <c r="F66" s="3">
        <v>23</v>
      </c>
      <c r="G66" s="4" t="s">
        <v>22</v>
      </c>
      <c r="H66" s="3" t="s">
        <v>23</v>
      </c>
      <c r="I66" s="6">
        <v>12425</v>
      </c>
      <c r="J66" s="6">
        <f>INDEX([1]Parámetros!$C$4:$C$10,MATCH(G66,[1]Parámetros!$A$4:$A$10,0))</f>
        <v>12000</v>
      </c>
      <c r="K66" s="7">
        <f t="shared" si="0"/>
        <v>1.0354166666666667</v>
      </c>
      <c r="L66" s="3" t="s">
        <v>19</v>
      </c>
      <c r="M66" s="3" t="str">
        <f>IF(L66="Sí","Atraso heredado",IF(K66&lt;[1]Parámetros!$E$13,"Adelantado",IF(K66&lt;=[1]Parámetros!$E$14,"En ventana ±10%","Fuera de ventana")))</f>
        <v>En ventana ±10%</v>
      </c>
      <c r="N66" s="3">
        <f t="shared" si="1"/>
        <v>2027</v>
      </c>
    </row>
    <row r="67" spans="1:14" x14ac:dyDescent="0.3">
      <c r="A67" s="3">
        <v>21</v>
      </c>
      <c r="B67" s="4" t="s">
        <v>43</v>
      </c>
      <c r="C67" s="3" t="s">
        <v>19</v>
      </c>
      <c r="D67" s="5">
        <v>46446</v>
      </c>
      <c r="E67" s="5">
        <v>46468</v>
      </c>
      <c r="F67" s="3">
        <v>23</v>
      </c>
      <c r="G67" s="4" t="s">
        <v>33</v>
      </c>
      <c r="H67" s="3" t="s">
        <v>34</v>
      </c>
      <c r="I67" s="6">
        <v>12425</v>
      </c>
      <c r="J67" s="6">
        <f>INDEX([1]Parámetros!$C$4:$C$10,MATCH(G67,[1]Parámetros!$A$4:$A$10,0))</f>
        <v>12000</v>
      </c>
      <c r="K67" s="7">
        <f t="shared" si="0"/>
        <v>1.0354166666666667</v>
      </c>
      <c r="L67" s="3" t="s">
        <v>19</v>
      </c>
      <c r="M67" s="3" t="str">
        <f>IF(L67="Sí","Atraso heredado",IF(K67&lt;[1]Parámetros!$E$13,"Adelantado",IF(K67&lt;=[1]Parámetros!$E$14,"En ventana ±10%","Fuera de ventana")))</f>
        <v>En ventana ±10%</v>
      </c>
      <c r="N67" s="3">
        <f t="shared" si="1"/>
        <v>2027</v>
      </c>
    </row>
    <row r="68" spans="1:14" x14ac:dyDescent="0.3">
      <c r="A68" s="3">
        <v>21</v>
      </c>
      <c r="B68" s="4" t="s">
        <v>43</v>
      </c>
      <c r="C68" s="3" t="s">
        <v>19</v>
      </c>
      <c r="D68" s="5">
        <v>46446</v>
      </c>
      <c r="E68" s="5">
        <v>46468</v>
      </c>
      <c r="F68" s="3">
        <v>23</v>
      </c>
      <c r="G68" s="4" t="s">
        <v>24</v>
      </c>
      <c r="H68" s="3" t="s">
        <v>25</v>
      </c>
      <c r="I68" s="6">
        <v>26267</v>
      </c>
      <c r="J68" s="6">
        <f>INDEX([1]Parámetros!$C$4:$C$10,MATCH(G68,[1]Parámetros!$A$4:$A$10,0))</f>
        <v>24000</v>
      </c>
      <c r="K68" s="7">
        <f t="shared" ref="K68:K131" si="2">I68/J68</f>
        <v>1.0944583333333333</v>
      </c>
      <c r="L68" s="3" t="s">
        <v>19</v>
      </c>
      <c r="M68" s="3" t="str">
        <f>IF(L68="Sí","Atraso heredado",IF(K68&lt;[1]Parámetros!$E$13,"Adelantado",IF(K68&lt;=[1]Parámetros!$E$14,"En ventana ±10%","Fuera de ventana")))</f>
        <v>En ventana ±10%</v>
      </c>
      <c r="N68" s="3">
        <f t="shared" ref="N68:N131" si="3">YEAR(D68)</f>
        <v>2027</v>
      </c>
    </row>
    <row r="69" spans="1:14" x14ac:dyDescent="0.3">
      <c r="A69" s="3">
        <v>21</v>
      </c>
      <c r="B69" s="4" t="s">
        <v>43</v>
      </c>
      <c r="C69" s="3" t="s">
        <v>19</v>
      </c>
      <c r="D69" s="5">
        <v>46446</v>
      </c>
      <c r="E69" s="5">
        <v>46468</v>
      </c>
      <c r="F69" s="3">
        <v>23</v>
      </c>
      <c r="G69" s="4" t="s">
        <v>31</v>
      </c>
      <c r="H69" s="3" t="s">
        <v>32</v>
      </c>
      <c r="I69" s="6">
        <v>12425</v>
      </c>
      <c r="J69" s="6">
        <f>INDEX([1]Parámetros!$C$4:$C$10,MATCH(G69,[1]Parámetros!$A$4:$A$10,0))</f>
        <v>6000</v>
      </c>
      <c r="K69" s="7">
        <f t="shared" si="2"/>
        <v>2.0708333333333333</v>
      </c>
      <c r="L69" s="3" t="s">
        <v>16</v>
      </c>
      <c r="M69" s="3" t="str">
        <f>IF(L69="Sí","Atraso heredado",IF(K69&lt;[1]Parámetros!$E$13,"Adelantado",IF(K69&lt;=[1]Parámetros!$E$14,"En ventana ±10%","Fuera de ventana")))</f>
        <v>Atraso heredado</v>
      </c>
      <c r="N69" s="3">
        <f t="shared" si="3"/>
        <v>2027</v>
      </c>
    </row>
    <row r="70" spans="1:14" x14ac:dyDescent="0.3">
      <c r="A70" s="3">
        <v>21</v>
      </c>
      <c r="B70" s="4" t="s">
        <v>43</v>
      </c>
      <c r="C70" s="3" t="s">
        <v>19</v>
      </c>
      <c r="D70" s="5">
        <v>46446</v>
      </c>
      <c r="E70" s="5">
        <v>46468</v>
      </c>
      <c r="F70" s="3">
        <v>23</v>
      </c>
      <c r="G70" s="4" t="s">
        <v>27</v>
      </c>
      <c r="H70" s="3" t="s">
        <v>28</v>
      </c>
      <c r="I70" s="6">
        <v>8348</v>
      </c>
      <c r="J70" s="6">
        <f>INDEX([1]Parámetros!$C$4:$C$10,MATCH(G70,[1]Parámetros!$A$4:$A$10,0))</f>
        <v>3000</v>
      </c>
      <c r="K70" s="7">
        <f t="shared" si="2"/>
        <v>2.7826666666666666</v>
      </c>
      <c r="L70" s="3" t="s">
        <v>19</v>
      </c>
      <c r="M70" s="3" t="str">
        <f>IF(L70="Sí","Atraso heredado",IF(K70&lt;[1]Parámetros!$E$13,"Adelantado",IF(K70&lt;=[1]Parámetros!$E$14,"En ventana ±10%","Fuera de ventana")))</f>
        <v>Fuera de ventana</v>
      </c>
      <c r="N70" s="3">
        <f t="shared" si="3"/>
        <v>2027</v>
      </c>
    </row>
    <row r="71" spans="1:14" x14ac:dyDescent="0.3">
      <c r="A71" s="3">
        <v>22</v>
      </c>
      <c r="B71" s="4" t="s">
        <v>36</v>
      </c>
      <c r="C71" s="3" t="s">
        <v>19</v>
      </c>
      <c r="D71" s="5">
        <v>46469</v>
      </c>
      <c r="E71" s="5">
        <v>46475</v>
      </c>
      <c r="F71" s="3">
        <v>7</v>
      </c>
      <c r="G71" s="4" t="s">
        <v>31</v>
      </c>
      <c r="H71" s="3" t="s">
        <v>32</v>
      </c>
      <c r="I71" s="6">
        <v>7656</v>
      </c>
      <c r="J71" s="6">
        <f>INDEX([1]Parámetros!$C$4:$C$10,MATCH(G71,[1]Parámetros!$A$4:$A$10,0))</f>
        <v>6000</v>
      </c>
      <c r="K71" s="7">
        <f t="shared" si="2"/>
        <v>1.276</v>
      </c>
      <c r="L71" s="3" t="s">
        <v>19</v>
      </c>
      <c r="M71" s="3" t="str">
        <f>IF(L71="Sí","Atraso heredado",IF(K71&lt;[1]Parámetros!$E$13,"Adelantado",IF(K71&lt;=[1]Parámetros!$E$14,"En ventana ±10%","Fuera de ventana")))</f>
        <v>Fuera de ventana</v>
      </c>
      <c r="N71" s="3">
        <f t="shared" si="3"/>
        <v>2027</v>
      </c>
    </row>
    <row r="72" spans="1:14" x14ac:dyDescent="0.3">
      <c r="A72" s="3">
        <v>22</v>
      </c>
      <c r="B72" s="4" t="s">
        <v>36</v>
      </c>
      <c r="C72" s="3" t="s">
        <v>19</v>
      </c>
      <c r="D72" s="5">
        <v>46469</v>
      </c>
      <c r="E72" s="5">
        <v>46475</v>
      </c>
      <c r="F72" s="3">
        <v>7</v>
      </c>
      <c r="G72" s="4" t="s">
        <v>27</v>
      </c>
      <c r="H72" s="3" t="s">
        <v>28</v>
      </c>
      <c r="I72" s="6">
        <v>4536</v>
      </c>
      <c r="J72" s="6">
        <f>INDEX([1]Parámetros!$C$4:$C$10,MATCH(G72,[1]Parámetros!$A$4:$A$10,0))</f>
        <v>3000</v>
      </c>
      <c r="K72" s="7">
        <f t="shared" si="2"/>
        <v>1.512</v>
      </c>
      <c r="L72" s="3" t="s">
        <v>19</v>
      </c>
      <c r="M72" s="3" t="str">
        <f>IF(L72="Sí","Atraso heredado",IF(K72&lt;[1]Parámetros!$E$13,"Adelantado",IF(K72&lt;=[1]Parámetros!$E$14,"En ventana ±10%","Fuera de ventana")))</f>
        <v>Fuera de ventana</v>
      </c>
      <c r="N72" s="3">
        <f t="shared" si="3"/>
        <v>2027</v>
      </c>
    </row>
    <row r="73" spans="1:14" x14ac:dyDescent="0.3">
      <c r="A73" s="3">
        <v>23</v>
      </c>
      <c r="B73" s="4" t="s">
        <v>38</v>
      </c>
      <c r="C73" s="3" t="s">
        <v>16</v>
      </c>
      <c r="D73" s="5">
        <v>46476</v>
      </c>
      <c r="E73" s="5">
        <v>46477</v>
      </c>
      <c r="F73" s="3">
        <v>2</v>
      </c>
      <c r="G73" s="4" t="s">
        <v>17</v>
      </c>
      <c r="H73" s="3" t="s">
        <v>18</v>
      </c>
      <c r="I73" s="6">
        <v>1592</v>
      </c>
      <c r="J73" s="6">
        <f>INDEX([1]Parámetros!$C$4:$C$10,MATCH(G73,[1]Parámetros!$A$4:$A$10,0))</f>
        <v>1500</v>
      </c>
      <c r="K73" s="7">
        <f t="shared" si="2"/>
        <v>1.0613333333333332</v>
      </c>
      <c r="L73" s="3" t="s">
        <v>19</v>
      </c>
      <c r="M73" s="3" t="str">
        <f>IF(L73="Sí","Atraso heredado",IF(K73&lt;[1]Parámetros!$E$13,"Adelantado",IF(K73&lt;=[1]Parámetros!$E$14,"En ventana ±10%","Fuera de ventana")))</f>
        <v>En ventana ±10%</v>
      </c>
      <c r="N73" s="3">
        <f t="shared" si="3"/>
        <v>2027</v>
      </c>
    </row>
    <row r="74" spans="1:14" x14ac:dyDescent="0.3">
      <c r="A74" s="3">
        <v>24</v>
      </c>
      <c r="B74" s="4" t="s">
        <v>39</v>
      </c>
      <c r="C74" s="3" t="s">
        <v>19</v>
      </c>
      <c r="D74" s="5">
        <v>46478</v>
      </c>
      <c r="E74" s="5">
        <v>46481</v>
      </c>
      <c r="F74" s="3">
        <v>4</v>
      </c>
      <c r="G74" s="4" t="s">
        <v>27</v>
      </c>
      <c r="H74" s="3" t="s">
        <v>28</v>
      </c>
      <c r="I74" s="6">
        <v>3154</v>
      </c>
      <c r="J74" s="6">
        <f>INDEX([1]Parámetros!$C$4:$C$10,MATCH(G74,[1]Parámetros!$A$4:$A$10,0))</f>
        <v>3000</v>
      </c>
      <c r="K74" s="7">
        <f t="shared" si="2"/>
        <v>1.0513333333333332</v>
      </c>
      <c r="L74" s="3" t="s">
        <v>19</v>
      </c>
      <c r="M74" s="3" t="str">
        <f>IF(L74="Sí","Atraso heredado",IF(K74&lt;[1]Parámetros!$E$13,"Adelantado",IF(K74&lt;=[1]Parámetros!$E$14,"En ventana ±10%","Fuera de ventana")))</f>
        <v>En ventana ±10%</v>
      </c>
      <c r="N74" s="3">
        <f t="shared" si="3"/>
        <v>2027</v>
      </c>
    </row>
    <row r="75" spans="1:14" x14ac:dyDescent="0.3">
      <c r="A75" s="3">
        <v>25</v>
      </c>
      <c r="B75" s="4" t="s">
        <v>44</v>
      </c>
      <c r="C75" s="3" t="s">
        <v>19</v>
      </c>
      <c r="D75" s="5">
        <v>46482</v>
      </c>
      <c r="E75" s="5">
        <v>46504</v>
      </c>
      <c r="F75" s="3">
        <v>23</v>
      </c>
      <c r="G75" s="4" t="s">
        <v>20</v>
      </c>
      <c r="H75" s="3" t="s">
        <v>21</v>
      </c>
      <c r="I75" s="6">
        <v>12108</v>
      </c>
      <c r="J75" s="6">
        <f>INDEX([1]Parámetros!$C$4:$C$10,MATCH(G75,[1]Parámetros!$A$4:$A$10,0))</f>
        <v>12000</v>
      </c>
      <c r="K75" s="7">
        <f t="shared" si="2"/>
        <v>1.0089999999999999</v>
      </c>
      <c r="L75" s="3" t="s">
        <v>19</v>
      </c>
      <c r="M75" s="3" t="str">
        <f>IF(L75="Sí","Atraso heredado",IF(K75&lt;[1]Parámetros!$E$13,"Adelantado",IF(K75&lt;=[1]Parámetros!$E$14,"En ventana ±10%","Fuera de ventana")))</f>
        <v>En ventana ±10%</v>
      </c>
      <c r="N75" s="3">
        <f t="shared" si="3"/>
        <v>2027</v>
      </c>
    </row>
    <row r="76" spans="1:14" x14ac:dyDescent="0.3">
      <c r="A76" s="3">
        <v>25</v>
      </c>
      <c r="B76" s="4" t="s">
        <v>44</v>
      </c>
      <c r="C76" s="3" t="s">
        <v>19</v>
      </c>
      <c r="D76" s="5">
        <v>46482</v>
      </c>
      <c r="E76" s="5">
        <v>46504</v>
      </c>
      <c r="F76" s="3">
        <v>23</v>
      </c>
      <c r="G76" s="4" t="s">
        <v>22</v>
      </c>
      <c r="H76" s="3" t="s">
        <v>23</v>
      </c>
      <c r="I76" s="6">
        <v>12108</v>
      </c>
      <c r="J76" s="6">
        <f>INDEX([1]Parámetros!$C$4:$C$10,MATCH(G76,[1]Parámetros!$A$4:$A$10,0))</f>
        <v>12000</v>
      </c>
      <c r="K76" s="7">
        <f t="shared" si="2"/>
        <v>1.0089999999999999</v>
      </c>
      <c r="L76" s="3" t="s">
        <v>19</v>
      </c>
      <c r="M76" s="3" t="str">
        <f>IF(L76="Sí","Atraso heredado",IF(K76&lt;[1]Parámetros!$E$13,"Adelantado",IF(K76&lt;=[1]Parámetros!$E$14,"En ventana ±10%","Fuera de ventana")))</f>
        <v>En ventana ±10%</v>
      </c>
      <c r="N76" s="3">
        <f t="shared" si="3"/>
        <v>2027</v>
      </c>
    </row>
    <row r="77" spans="1:14" x14ac:dyDescent="0.3">
      <c r="A77" s="3">
        <v>25</v>
      </c>
      <c r="B77" s="4" t="s">
        <v>44</v>
      </c>
      <c r="C77" s="3" t="s">
        <v>19</v>
      </c>
      <c r="D77" s="5">
        <v>46482</v>
      </c>
      <c r="E77" s="5">
        <v>46504</v>
      </c>
      <c r="F77" s="3">
        <v>23</v>
      </c>
      <c r="G77" s="4" t="s">
        <v>33</v>
      </c>
      <c r="H77" s="3" t="s">
        <v>34</v>
      </c>
      <c r="I77" s="6">
        <v>12108</v>
      </c>
      <c r="J77" s="6">
        <f>INDEX([1]Parámetros!$C$4:$C$10,MATCH(G77,[1]Parámetros!$A$4:$A$10,0))</f>
        <v>12000</v>
      </c>
      <c r="K77" s="7">
        <f t="shared" si="2"/>
        <v>1.0089999999999999</v>
      </c>
      <c r="L77" s="3" t="s">
        <v>19</v>
      </c>
      <c r="M77" s="3" t="str">
        <f>IF(L77="Sí","Atraso heredado",IF(K77&lt;[1]Parámetros!$E$13,"Adelantado",IF(K77&lt;=[1]Parámetros!$E$14,"En ventana ±10%","Fuera de ventana")))</f>
        <v>En ventana ±10%</v>
      </c>
      <c r="N77" s="3">
        <f t="shared" si="3"/>
        <v>2027</v>
      </c>
    </row>
    <row r="78" spans="1:14" x14ac:dyDescent="0.3">
      <c r="A78" s="3">
        <v>25</v>
      </c>
      <c r="B78" s="4" t="s">
        <v>44</v>
      </c>
      <c r="C78" s="3" t="s">
        <v>19</v>
      </c>
      <c r="D78" s="5">
        <v>46482</v>
      </c>
      <c r="E78" s="5">
        <v>46504</v>
      </c>
      <c r="F78" s="3">
        <v>23</v>
      </c>
      <c r="G78" s="4" t="s">
        <v>24</v>
      </c>
      <c r="H78" s="3" t="s">
        <v>25</v>
      </c>
      <c r="I78" s="6">
        <v>21428</v>
      </c>
      <c r="J78" s="6">
        <f>INDEX([1]Parámetros!$C$4:$C$10,MATCH(G78,[1]Parámetros!$A$4:$A$10,0))</f>
        <v>24000</v>
      </c>
      <c r="K78" s="7">
        <f t="shared" si="2"/>
        <v>0.89283333333333337</v>
      </c>
      <c r="L78" s="3" t="s">
        <v>19</v>
      </c>
      <c r="M78" s="3" t="str">
        <f>IF(L78="Sí","Atraso heredado",IF(K78&lt;[1]Parámetros!$E$13,"Adelantado",IF(K78&lt;=[1]Parámetros!$E$14,"En ventana ±10%","Fuera de ventana")))</f>
        <v>Adelantado</v>
      </c>
      <c r="N78" s="3">
        <f t="shared" si="3"/>
        <v>2027</v>
      </c>
    </row>
    <row r="79" spans="1:14" x14ac:dyDescent="0.3">
      <c r="A79" s="3">
        <v>25</v>
      </c>
      <c r="B79" s="4" t="s">
        <v>44</v>
      </c>
      <c r="C79" s="3" t="s">
        <v>19</v>
      </c>
      <c r="D79" s="5">
        <v>46482</v>
      </c>
      <c r="E79" s="5">
        <v>46504</v>
      </c>
      <c r="F79" s="3">
        <v>23</v>
      </c>
      <c r="G79" s="4" t="s">
        <v>31</v>
      </c>
      <c r="H79" s="3" t="s">
        <v>32</v>
      </c>
      <c r="I79" s="6">
        <v>12108</v>
      </c>
      <c r="J79" s="6">
        <f>INDEX([1]Parámetros!$C$4:$C$10,MATCH(G79,[1]Parámetros!$A$4:$A$10,0))</f>
        <v>6000</v>
      </c>
      <c r="K79" s="7">
        <f t="shared" si="2"/>
        <v>2.0179999999999998</v>
      </c>
      <c r="L79" s="3" t="s">
        <v>19</v>
      </c>
      <c r="M79" s="3" t="str">
        <f>IF(L79="Sí","Atraso heredado",IF(K79&lt;[1]Parámetros!$E$13,"Adelantado",IF(K79&lt;=[1]Parámetros!$E$14,"En ventana ±10%","Fuera de ventana")))</f>
        <v>Fuera de ventana</v>
      </c>
      <c r="N79" s="3">
        <f t="shared" si="3"/>
        <v>2027</v>
      </c>
    </row>
    <row r="80" spans="1:14" x14ac:dyDescent="0.3">
      <c r="A80" s="3">
        <v>25</v>
      </c>
      <c r="B80" s="4" t="s">
        <v>44</v>
      </c>
      <c r="C80" s="3" t="s">
        <v>19</v>
      </c>
      <c r="D80" s="5">
        <v>46482</v>
      </c>
      <c r="E80" s="5">
        <v>46504</v>
      </c>
      <c r="F80" s="3">
        <v>23</v>
      </c>
      <c r="G80" s="4" t="s">
        <v>27</v>
      </c>
      <c r="H80" s="3" t="s">
        <v>28</v>
      </c>
      <c r="I80" s="6">
        <v>8641</v>
      </c>
      <c r="J80" s="6">
        <f>INDEX([1]Parámetros!$C$4:$C$10,MATCH(G80,[1]Parámetros!$A$4:$A$10,0))</f>
        <v>3000</v>
      </c>
      <c r="K80" s="7">
        <f t="shared" si="2"/>
        <v>2.8803333333333332</v>
      </c>
      <c r="L80" s="3" t="s">
        <v>19</v>
      </c>
      <c r="M80" s="3" t="str">
        <f>IF(L80="Sí","Atraso heredado",IF(K80&lt;[1]Parámetros!$E$13,"Adelantado",IF(K80&lt;=[1]Parámetros!$E$14,"En ventana ±10%","Fuera de ventana")))</f>
        <v>Fuera de ventana</v>
      </c>
      <c r="N80" s="3">
        <f t="shared" si="3"/>
        <v>2027</v>
      </c>
    </row>
    <row r="81" spans="1:14" x14ac:dyDescent="0.3">
      <c r="A81" s="3">
        <v>26</v>
      </c>
      <c r="B81" s="4" t="s">
        <v>40</v>
      </c>
      <c r="C81" s="3" t="s">
        <v>19</v>
      </c>
      <c r="D81" s="5">
        <v>46505</v>
      </c>
      <c r="E81" s="5">
        <v>46508</v>
      </c>
      <c r="F81" s="3">
        <v>4</v>
      </c>
      <c r="G81" s="4" t="s">
        <v>27</v>
      </c>
      <c r="H81" s="3" t="s">
        <v>28</v>
      </c>
      <c r="I81" s="6">
        <v>3240</v>
      </c>
      <c r="J81" s="6">
        <f>INDEX([1]Parámetros!$C$4:$C$10,MATCH(G81,[1]Parámetros!$A$4:$A$10,0))</f>
        <v>3000</v>
      </c>
      <c r="K81" s="7">
        <f t="shared" si="2"/>
        <v>1.08</v>
      </c>
      <c r="L81" s="3" t="s">
        <v>19</v>
      </c>
      <c r="M81" s="3" t="str">
        <f>IF(L81="Sí","Atraso heredado",IF(K81&lt;[1]Parámetros!$E$13,"Adelantado",IF(K81&lt;=[1]Parámetros!$E$14,"En ventana ±10%","Fuera de ventana")))</f>
        <v>En ventana ±10%</v>
      </c>
      <c r="N81" s="3">
        <f t="shared" si="3"/>
        <v>2027</v>
      </c>
    </row>
    <row r="82" spans="1:14" x14ac:dyDescent="0.3">
      <c r="A82" s="3">
        <v>27</v>
      </c>
      <c r="B82" s="4" t="s">
        <v>29</v>
      </c>
      <c r="C82" s="3" t="s">
        <v>16</v>
      </c>
      <c r="D82" s="5">
        <v>46509</v>
      </c>
      <c r="E82" s="5">
        <v>46510</v>
      </c>
      <c r="F82" s="3">
        <v>2</v>
      </c>
      <c r="G82" s="4" t="s">
        <v>17</v>
      </c>
      <c r="H82" s="3" t="s">
        <v>18</v>
      </c>
      <c r="I82" s="6">
        <v>1639</v>
      </c>
      <c r="J82" s="6">
        <f>INDEX([1]Parámetros!$C$4:$C$10,MATCH(G82,[1]Parámetros!$A$4:$A$10,0))</f>
        <v>1500</v>
      </c>
      <c r="K82" s="7">
        <f t="shared" si="2"/>
        <v>1.0926666666666667</v>
      </c>
      <c r="L82" s="3" t="s">
        <v>19</v>
      </c>
      <c r="M82" s="3" t="str">
        <f>IF(L82="Sí","Atraso heredado",IF(K82&lt;[1]Parámetros!$E$13,"Adelantado",IF(K82&lt;=[1]Parámetros!$E$14,"En ventana ±10%","Fuera de ventana")))</f>
        <v>En ventana ±10%</v>
      </c>
      <c r="N82" s="3">
        <f t="shared" si="3"/>
        <v>2027</v>
      </c>
    </row>
    <row r="83" spans="1:14" x14ac:dyDescent="0.3">
      <c r="A83" s="3">
        <v>28</v>
      </c>
      <c r="B83" s="4" t="s">
        <v>45</v>
      </c>
      <c r="C83" s="3" t="s">
        <v>19</v>
      </c>
      <c r="D83" s="5">
        <v>46511</v>
      </c>
      <c r="E83" s="5">
        <v>46533</v>
      </c>
      <c r="F83" s="3">
        <v>23</v>
      </c>
      <c r="G83" s="4" t="s">
        <v>20</v>
      </c>
      <c r="H83" s="3" t="s">
        <v>21</v>
      </c>
      <c r="I83" s="6">
        <v>17208</v>
      </c>
      <c r="J83" s="6">
        <f>INDEX([1]Parámetros!$C$4:$C$10,MATCH(G83,[1]Parámetros!$A$4:$A$10,0))</f>
        <v>12000</v>
      </c>
      <c r="K83" s="7">
        <f t="shared" si="2"/>
        <v>1.4339999999999999</v>
      </c>
      <c r="L83" s="3" t="s">
        <v>19</v>
      </c>
      <c r="M83" s="3" t="str">
        <f>IF(L83="Sí","Atraso heredado",IF(K83&lt;[1]Parámetros!$E$13,"Adelantado",IF(K83&lt;=[1]Parámetros!$E$14,"En ventana ±10%","Fuera de ventana")))</f>
        <v>Fuera de ventana</v>
      </c>
      <c r="N83" s="3">
        <f t="shared" si="3"/>
        <v>2027</v>
      </c>
    </row>
    <row r="84" spans="1:14" x14ac:dyDescent="0.3">
      <c r="A84" s="3">
        <v>28</v>
      </c>
      <c r="B84" s="4" t="s">
        <v>45</v>
      </c>
      <c r="C84" s="3" t="s">
        <v>19</v>
      </c>
      <c r="D84" s="5">
        <v>46511</v>
      </c>
      <c r="E84" s="5">
        <v>46533</v>
      </c>
      <c r="F84" s="3">
        <v>23</v>
      </c>
      <c r="G84" s="4" t="s">
        <v>22</v>
      </c>
      <c r="H84" s="3" t="s">
        <v>23</v>
      </c>
      <c r="I84" s="6">
        <v>17208</v>
      </c>
      <c r="J84" s="6">
        <f>INDEX([1]Parámetros!$C$4:$C$10,MATCH(G84,[1]Parámetros!$A$4:$A$10,0))</f>
        <v>12000</v>
      </c>
      <c r="K84" s="7">
        <f t="shared" si="2"/>
        <v>1.4339999999999999</v>
      </c>
      <c r="L84" s="3" t="s">
        <v>19</v>
      </c>
      <c r="M84" s="3" t="str">
        <f>IF(L84="Sí","Atraso heredado",IF(K84&lt;[1]Parámetros!$E$13,"Adelantado",IF(K84&lt;=[1]Parámetros!$E$14,"En ventana ±10%","Fuera de ventana")))</f>
        <v>Fuera de ventana</v>
      </c>
      <c r="N84" s="3">
        <f t="shared" si="3"/>
        <v>2027</v>
      </c>
    </row>
    <row r="85" spans="1:14" x14ac:dyDescent="0.3">
      <c r="A85" s="3">
        <v>28</v>
      </c>
      <c r="B85" s="4" t="s">
        <v>45</v>
      </c>
      <c r="C85" s="3" t="s">
        <v>19</v>
      </c>
      <c r="D85" s="5">
        <v>46511</v>
      </c>
      <c r="E85" s="5">
        <v>46533</v>
      </c>
      <c r="F85" s="3">
        <v>23</v>
      </c>
      <c r="G85" s="4" t="s">
        <v>33</v>
      </c>
      <c r="H85" s="3" t="s">
        <v>34</v>
      </c>
      <c r="I85" s="6">
        <v>9261</v>
      </c>
      <c r="J85" s="6">
        <f>INDEX([1]Parámetros!$C$4:$C$10,MATCH(G85,[1]Parámetros!$A$4:$A$10,0))</f>
        <v>12000</v>
      </c>
      <c r="K85" s="7">
        <f t="shared" si="2"/>
        <v>0.77175000000000005</v>
      </c>
      <c r="L85" s="3" t="s">
        <v>19</v>
      </c>
      <c r="M85" s="3" t="str">
        <f>IF(L85="Sí","Atraso heredado",IF(K85&lt;[1]Parámetros!$E$13,"Adelantado",IF(K85&lt;=[1]Parámetros!$E$14,"En ventana ±10%","Fuera de ventana")))</f>
        <v>Adelantado</v>
      </c>
      <c r="N85" s="3">
        <f t="shared" si="3"/>
        <v>2027</v>
      </c>
    </row>
    <row r="86" spans="1:14" x14ac:dyDescent="0.3">
      <c r="A86" s="3">
        <v>28</v>
      </c>
      <c r="B86" s="4" t="s">
        <v>45</v>
      </c>
      <c r="C86" s="3" t="s">
        <v>19</v>
      </c>
      <c r="D86" s="5">
        <v>46511</v>
      </c>
      <c r="E86" s="5">
        <v>46533</v>
      </c>
      <c r="F86" s="3">
        <v>23</v>
      </c>
      <c r="G86" s="4" t="s">
        <v>31</v>
      </c>
      <c r="H86" s="3" t="s">
        <v>32</v>
      </c>
      <c r="I86" s="6">
        <v>11086</v>
      </c>
      <c r="J86" s="6">
        <f>INDEX([1]Parámetros!$C$4:$C$10,MATCH(G86,[1]Parámetros!$A$4:$A$10,0))</f>
        <v>6000</v>
      </c>
      <c r="K86" s="7">
        <f t="shared" si="2"/>
        <v>1.8476666666666666</v>
      </c>
      <c r="L86" s="3" t="s">
        <v>19</v>
      </c>
      <c r="M86" s="3" t="str">
        <f>IF(L86="Sí","Atraso heredado",IF(K86&lt;[1]Parámetros!$E$13,"Adelantado",IF(K86&lt;=[1]Parámetros!$E$14,"En ventana ±10%","Fuera de ventana")))</f>
        <v>Fuera de ventana</v>
      </c>
      <c r="N86" s="3">
        <f t="shared" si="3"/>
        <v>2027</v>
      </c>
    </row>
    <row r="87" spans="1:14" x14ac:dyDescent="0.3">
      <c r="A87" s="3">
        <v>28</v>
      </c>
      <c r="B87" s="4" t="s">
        <v>45</v>
      </c>
      <c r="C87" s="3" t="s">
        <v>19</v>
      </c>
      <c r="D87" s="5">
        <v>46511</v>
      </c>
      <c r="E87" s="5">
        <v>46533</v>
      </c>
      <c r="F87" s="3">
        <v>23</v>
      </c>
      <c r="G87" s="4" t="s">
        <v>27</v>
      </c>
      <c r="H87" s="3" t="s">
        <v>28</v>
      </c>
      <c r="I87" s="6">
        <v>6701</v>
      </c>
      <c r="J87" s="6">
        <f>INDEX([1]Parámetros!$C$4:$C$10,MATCH(G87,[1]Parámetros!$A$4:$A$10,0))</f>
        <v>3000</v>
      </c>
      <c r="K87" s="7">
        <f t="shared" si="2"/>
        <v>2.2336666666666667</v>
      </c>
      <c r="L87" s="3" t="s">
        <v>19</v>
      </c>
      <c r="M87" s="3" t="str">
        <f>IF(L87="Sí","Atraso heredado",IF(K87&lt;[1]Parámetros!$E$13,"Adelantado",IF(K87&lt;=[1]Parámetros!$E$14,"En ventana ±10%","Fuera de ventana")))</f>
        <v>Fuera de ventana</v>
      </c>
      <c r="N87" s="3">
        <f t="shared" si="3"/>
        <v>2027</v>
      </c>
    </row>
    <row r="88" spans="1:14" x14ac:dyDescent="0.3">
      <c r="A88" s="3">
        <v>29</v>
      </c>
      <c r="B88" s="4" t="s">
        <v>41</v>
      </c>
      <c r="C88" s="3" t="s">
        <v>19</v>
      </c>
      <c r="D88" s="5">
        <v>46534</v>
      </c>
      <c r="E88" s="5">
        <v>46537</v>
      </c>
      <c r="F88" s="3">
        <v>4</v>
      </c>
      <c r="G88" s="4" t="s">
        <v>27</v>
      </c>
      <c r="H88" s="3" t="s">
        <v>28</v>
      </c>
      <c r="I88" s="6">
        <v>2830</v>
      </c>
      <c r="J88" s="6">
        <f>INDEX([1]Parámetros!$C$4:$C$10,MATCH(G88,[1]Parámetros!$A$4:$A$10,0))</f>
        <v>3000</v>
      </c>
      <c r="K88" s="7">
        <f t="shared" si="2"/>
        <v>0.94333333333333336</v>
      </c>
      <c r="L88" s="3" t="s">
        <v>19</v>
      </c>
      <c r="M88" s="3" t="str">
        <f>IF(L88="Sí","Atraso heredado",IF(K88&lt;[1]Parámetros!$E$13,"Adelantado",IF(K88&lt;=[1]Parámetros!$E$14,"En ventana ±10%","Fuera de ventana")))</f>
        <v>En ventana ±10%</v>
      </c>
      <c r="N88" s="3">
        <f t="shared" si="3"/>
        <v>2027</v>
      </c>
    </row>
    <row r="89" spans="1:14" x14ac:dyDescent="0.3">
      <c r="A89" s="3">
        <v>30</v>
      </c>
      <c r="B89" s="4" t="s">
        <v>46</v>
      </c>
      <c r="C89" s="3" t="s">
        <v>19</v>
      </c>
      <c r="D89" s="5">
        <v>46538</v>
      </c>
      <c r="E89" s="5">
        <v>46560</v>
      </c>
      <c r="F89" s="3">
        <v>23</v>
      </c>
      <c r="G89" s="4" t="s">
        <v>20</v>
      </c>
      <c r="H89" s="3" t="s">
        <v>21</v>
      </c>
      <c r="I89" s="6">
        <v>17930</v>
      </c>
      <c r="J89" s="6">
        <f>INDEX([1]Parámetros!$C$4:$C$10,MATCH(G89,[1]Parámetros!$A$4:$A$10,0))</f>
        <v>12000</v>
      </c>
      <c r="K89" s="7">
        <f t="shared" si="2"/>
        <v>1.4941666666666666</v>
      </c>
      <c r="L89" s="3" t="s">
        <v>19</v>
      </c>
      <c r="M89" s="3" t="str">
        <f>IF(L89="Sí","Atraso heredado",IF(K89&lt;[1]Parámetros!$E$13,"Adelantado",IF(K89&lt;=[1]Parámetros!$E$14,"En ventana ±10%","Fuera de ventana")))</f>
        <v>Fuera de ventana</v>
      </c>
      <c r="N89" s="3">
        <f t="shared" si="3"/>
        <v>2027</v>
      </c>
    </row>
    <row r="90" spans="1:14" x14ac:dyDescent="0.3">
      <c r="A90" s="3">
        <v>30</v>
      </c>
      <c r="B90" s="4" t="s">
        <v>46</v>
      </c>
      <c r="C90" s="3" t="s">
        <v>19</v>
      </c>
      <c r="D90" s="5">
        <v>46538</v>
      </c>
      <c r="E90" s="5">
        <v>46560</v>
      </c>
      <c r="F90" s="3">
        <v>23</v>
      </c>
      <c r="G90" s="4" t="s">
        <v>22</v>
      </c>
      <c r="H90" s="3" t="s">
        <v>23</v>
      </c>
      <c r="I90" s="6">
        <v>17930</v>
      </c>
      <c r="J90" s="6">
        <f>INDEX([1]Parámetros!$C$4:$C$10,MATCH(G90,[1]Parámetros!$A$4:$A$10,0))</f>
        <v>12000</v>
      </c>
      <c r="K90" s="7">
        <f t="shared" si="2"/>
        <v>1.4941666666666666</v>
      </c>
      <c r="L90" s="3" t="s">
        <v>19</v>
      </c>
      <c r="M90" s="3" t="str">
        <f>IF(L90="Sí","Atraso heredado",IF(K90&lt;[1]Parámetros!$E$13,"Adelantado",IF(K90&lt;=[1]Parámetros!$E$14,"En ventana ±10%","Fuera de ventana")))</f>
        <v>Fuera de ventana</v>
      </c>
      <c r="N90" s="3">
        <f t="shared" si="3"/>
        <v>2027</v>
      </c>
    </row>
    <row r="91" spans="1:14" x14ac:dyDescent="0.3">
      <c r="A91" s="3">
        <v>30</v>
      </c>
      <c r="B91" s="4" t="s">
        <v>46</v>
      </c>
      <c r="C91" s="3" t="s">
        <v>19</v>
      </c>
      <c r="D91" s="5">
        <v>46538</v>
      </c>
      <c r="E91" s="5">
        <v>46560</v>
      </c>
      <c r="F91" s="3">
        <v>23</v>
      </c>
      <c r="G91" s="4" t="s">
        <v>33</v>
      </c>
      <c r="H91" s="3" t="s">
        <v>34</v>
      </c>
      <c r="I91" s="6">
        <v>9340</v>
      </c>
      <c r="J91" s="6">
        <f>INDEX([1]Parámetros!$C$4:$C$10,MATCH(G91,[1]Parámetros!$A$4:$A$10,0))</f>
        <v>12000</v>
      </c>
      <c r="K91" s="7">
        <f t="shared" si="2"/>
        <v>0.77833333333333332</v>
      </c>
      <c r="L91" s="3" t="s">
        <v>19</v>
      </c>
      <c r="M91" s="3" t="str">
        <f>IF(L91="Sí","Atraso heredado",IF(K91&lt;[1]Parámetros!$E$13,"Adelantado",IF(K91&lt;=[1]Parámetros!$E$14,"En ventana ±10%","Fuera de ventana")))</f>
        <v>Adelantado</v>
      </c>
      <c r="N91" s="3">
        <f t="shared" si="3"/>
        <v>2027</v>
      </c>
    </row>
    <row r="92" spans="1:14" x14ac:dyDescent="0.3">
      <c r="A92" s="3">
        <v>30</v>
      </c>
      <c r="B92" s="4" t="s">
        <v>46</v>
      </c>
      <c r="C92" s="3" t="s">
        <v>19</v>
      </c>
      <c r="D92" s="5">
        <v>46538</v>
      </c>
      <c r="E92" s="5">
        <v>46560</v>
      </c>
      <c r="F92" s="3">
        <v>23</v>
      </c>
      <c r="G92" s="4" t="s">
        <v>31</v>
      </c>
      <c r="H92" s="3" t="s">
        <v>32</v>
      </c>
      <c r="I92" s="6">
        <v>7214</v>
      </c>
      <c r="J92" s="6">
        <f>INDEX([1]Parámetros!$C$4:$C$10,MATCH(G92,[1]Parámetros!$A$4:$A$10,0))</f>
        <v>6000</v>
      </c>
      <c r="K92" s="7">
        <f t="shared" si="2"/>
        <v>1.2023333333333333</v>
      </c>
      <c r="L92" s="3" t="s">
        <v>19</v>
      </c>
      <c r="M92" s="3" t="str">
        <f>IF(L92="Sí","Atraso heredado",IF(K92&lt;[1]Parámetros!$E$13,"Adelantado",IF(K92&lt;=[1]Parámetros!$E$14,"En ventana ±10%","Fuera de ventana")))</f>
        <v>Fuera de ventana</v>
      </c>
      <c r="N92" s="3">
        <f t="shared" si="3"/>
        <v>2027</v>
      </c>
    </row>
    <row r="93" spans="1:14" x14ac:dyDescent="0.3">
      <c r="A93" s="3">
        <v>30</v>
      </c>
      <c r="B93" s="4" t="s">
        <v>46</v>
      </c>
      <c r="C93" s="3" t="s">
        <v>19</v>
      </c>
      <c r="D93" s="5">
        <v>46538</v>
      </c>
      <c r="E93" s="5">
        <v>46560</v>
      </c>
      <c r="F93" s="3">
        <v>23</v>
      </c>
      <c r="G93" s="4" t="s">
        <v>27</v>
      </c>
      <c r="H93" s="3" t="s">
        <v>28</v>
      </c>
      <c r="I93" s="6">
        <v>7214</v>
      </c>
      <c r="J93" s="6">
        <f>INDEX([1]Parámetros!$C$4:$C$10,MATCH(G93,[1]Parámetros!$A$4:$A$10,0))</f>
        <v>3000</v>
      </c>
      <c r="K93" s="7">
        <f t="shared" si="2"/>
        <v>2.4046666666666665</v>
      </c>
      <c r="L93" s="3" t="s">
        <v>19</v>
      </c>
      <c r="M93" s="3" t="str">
        <f>IF(L93="Sí","Atraso heredado",IF(K93&lt;[1]Parámetros!$E$13,"Adelantado",IF(K93&lt;=[1]Parámetros!$E$14,"En ventana ±10%","Fuera de ventana")))</f>
        <v>Fuera de ventana</v>
      </c>
      <c r="N93" s="3">
        <f t="shared" si="3"/>
        <v>2027</v>
      </c>
    </row>
    <row r="94" spans="1:14" x14ac:dyDescent="0.3">
      <c r="A94" s="3">
        <v>31</v>
      </c>
      <c r="B94" s="4" t="s">
        <v>42</v>
      </c>
      <c r="C94" s="3" t="s">
        <v>19</v>
      </c>
      <c r="D94" s="5">
        <v>46561</v>
      </c>
      <c r="E94" s="5">
        <v>46564</v>
      </c>
      <c r="F94" s="3">
        <v>4</v>
      </c>
      <c r="G94" s="4" t="s">
        <v>27</v>
      </c>
      <c r="H94" s="3" t="s">
        <v>28</v>
      </c>
      <c r="I94" s="6">
        <v>2873</v>
      </c>
      <c r="J94" s="6">
        <f>INDEX([1]Parámetros!$C$4:$C$10,MATCH(G94,[1]Parámetros!$A$4:$A$10,0))</f>
        <v>3000</v>
      </c>
      <c r="K94" s="7">
        <f t="shared" si="2"/>
        <v>0.95766666666666667</v>
      </c>
      <c r="L94" s="3" t="s">
        <v>19</v>
      </c>
      <c r="M94" s="3" t="str">
        <f>IF(L94="Sí","Atraso heredado",IF(K94&lt;[1]Parámetros!$E$13,"Adelantado",IF(K94&lt;=[1]Parámetros!$E$14,"En ventana ±10%","Fuera de ventana")))</f>
        <v>En ventana ±10%</v>
      </c>
      <c r="N94" s="3">
        <f t="shared" si="3"/>
        <v>2027</v>
      </c>
    </row>
    <row r="95" spans="1:14" x14ac:dyDescent="0.3">
      <c r="A95" s="3">
        <v>32</v>
      </c>
      <c r="B95" s="4" t="s">
        <v>26</v>
      </c>
      <c r="C95" s="3" t="s">
        <v>19</v>
      </c>
      <c r="D95" s="5">
        <v>46565</v>
      </c>
      <c r="E95" s="5">
        <v>46587</v>
      </c>
      <c r="F95" s="3">
        <v>23</v>
      </c>
      <c r="G95" s="4" t="s">
        <v>20</v>
      </c>
      <c r="H95" s="3" t="s">
        <v>21</v>
      </c>
      <c r="I95" s="6">
        <v>11714</v>
      </c>
      <c r="J95" s="6">
        <f>INDEX([1]Parámetros!$C$4:$C$10,MATCH(G95,[1]Parámetros!$A$4:$A$10,0))</f>
        <v>12000</v>
      </c>
      <c r="K95" s="7">
        <f t="shared" si="2"/>
        <v>0.97616666666666663</v>
      </c>
      <c r="L95" s="3" t="s">
        <v>19</v>
      </c>
      <c r="M95" s="3" t="str">
        <f>IF(L95="Sí","Atraso heredado",IF(K95&lt;[1]Parámetros!$E$13,"Adelantado",IF(K95&lt;=[1]Parámetros!$E$14,"En ventana ±10%","Fuera de ventana")))</f>
        <v>En ventana ±10%</v>
      </c>
      <c r="N95" s="3">
        <f t="shared" si="3"/>
        <v>2027</v>
      </c>
    </row>
    <row r="96" spans="1:14" x14ac:dyDescent="0.3">
      <c r="A96" s="3">
        <v>32</v>
      </c>
      <c r="B96" s="4" t="s">
        <v>26</v>
      </c>
      <c r="C96" s="3" t="s">
        <v>19</v>
      </c>
      <c r="D96" s="5">
        <v>46565</v>
      </c>
      <c r="E96" s="5">
        <v>46587</v>
      </c>
      <c r="F96" s="3">
        <v>23</v>
      </c>
      <c r="G96" s="4" t="s">
        <v>22</v>
      </c>
      <c r="H96" s="3" t="s">
        <v>23</v>
      </c>
      <c r="I96" s="6">
        <v>11714</v>
      </c>
      <c r="J96" s="6">
        <f>INDEX([1]Parámetros!$C$4:$C$10,MATCH(G96,[1]Parámetros!$A$4:$A$10,0))</f>
        <v>12000</v>
      </c>
      <c r="K96" s="7">
        <f t="shared" si="2"/>
        <v>0.97616666666666663</v>
      </c>
      <c r="L96" s="3" t="s">
        <v>19</v>
      </c>
      <c r="M96" s="3" t="str">
        <f>IF(L96="Sí","Atraso heredado",IF(K96&lt;[1]Parámetros!$E$13,"Adelantado",IF(K96&lt;=[1]Parámetros!$E$14,"En ventana ±10%","Fuera de ventana")))</f>
        <v>En ventana ±10%</v>
      </c>
      <c r="N96" s="3">
        <f t="shared" si="3"/>
        <v>2027</v>
      </c>
    </row>
    <row r="97" spans="1:14" x14ac:dyDescent="0.3">
      <c r="A97" s="3">
        <v>32</v>
      </c>
      <c r="B97" s="4" t="s">
        <v>26</v>
      </c>
      <c r="C97" s="3" t="s">
        <v>19</v>
      </c>
      <c r="D97" s="5">
        <v>46565</v>
      </c>
      <c r="E97" s="5">
        <v>46587</v>
      </c>
      <c r="F97" s="3">
        <v>23</v>
      </c>
      <c r="G97" s="4" t="s">
        <v>33</v>
      </c>
      <c r="H97" s="3" t="s">
        <v>34</v>
      </c>
      <c r="I97" s="6">
        <v>11714</v>
      </c>
      <c r="J97" s="6">
        <f>INDEX([1]Parámetros!$C$4:$C$10,MATCH(G97,[1]Parámetros!$A$4:$A$10,0))</f>
        <v>12000</v>
      </c>
      <c r="K97" s="7">
        <f t="shared" si="2"/>
        <v>0.97616666666666663</v>
      </c>
      <c r="L97" s="3" t="s">
        <v>19</v>
      </c>
      <c r="M97" s="3" t="str">
        <f>IF(L97="Sí","Atraso heredado",IF(K97&lt;[1]Parámetros!$E$13,"Adelantado",IF(K97&lt;=[1]Parámetros!$E$14,"En ventana ±10%","Fuera de ventana")))</f>
        <v>En ventana ±10%</v>
      </c>
      <c r="N97" s="3">
        <f t="shared" si="3"/>
        <v>2027</v>
      </c>
    </row>
    <row r="98" spans="1:14" x14ac:dyDescent="0.3">
      <c r="A98" s="3">
        <v>32</v>
      </c>
      <c r="B98" s="4" t="s">
        <v>26</v>
      </c>
      <c r="C98" s="3" t="s">
        <v>19</v>
      </c>
      <c r="D98" s="5">
        <v>46565</v>
      </c>
      <c r="E98" s="5">
        <v>46587</v>
      </c>
      <c r="F98" s="3">
        <v>23</v>
      </c>
      <c r="G98" s="4" t="s">
        <v>31</v>
      </c>
      <c r="H98" s="3" t="s">
        <v>32</v>
      </c>
      <c r="I98" s="6">
        <v>11714</v>
      </c>
      <c r="J98" s="6">
        <f>INDEX([1]Parámetros!$C$4:$C$10,MATCH(G98,[1]Parámetros!$A$4:$A$10,0))</f>
        <v>6000</v>
      </c>
      <c r="K98" s="7">
        <f t="shared" si="2"/>
        <v>1.9523333333333333</v>
      </c>
      <c r="L98" s="3" t="s">
        <v>19</v>
      </c>
      <c r="M98" s="3" t="str">
        <f>IF(L98="Sí","Atraso heredado",IF(K98&lt;[1]Parámetros!$E$13,"Adelantado",IF(K98&lt;=[1]Parámetros!$E$14,"En ventana ±10%","Fuera de ventana")))</f>
        <v>Fuera de ventana</v>
      </c>
      <c r="N98" s="3">
        <f t="shared" si="3"/>
        <v>2027</v>
      </c>
    </row>
    <row r="99" spans="1:14" x14ac:dyDescent="0.3">
      <c r="A99" s="3">
        <v>32</v>
      </c>
      <c r="B99" s="4" t="s">
        <v>26</v>
      </c>
      <c r="C99" s="3" t="s">
        <v>19</v>
      </c>
      <c r="D99" s="5">
        <v>46565</v>
      </c>
      <c r="E99" s="5">
        <v>46587</v>
      </c>
      <c r="F99" s="3">
        <v>23</v>
      </c>
      <c r="G99" s="4" t="s">
        <v>27</v>
      </c>
      <c r="H99" s="3" t="s">
        <v>28</v>
      </c>
      <c r="I99" s="6">
        <v>7214</v>
      </c>
      <c r="J99" s="6">
        <f>INDEX([1]Parámetros!$C$4:$C$10,MATCH(G99,[1]Parámetros!$A$4:$A$10,0))</f>
        <v>3000</v>
      </c>
      <c r="K99" s="7">
        <f t="shared" si="2"/>
        <v>2.4046666666666665</v>
      </c>
      <c r="L99" s="3" t="s">
        <v>19</v>
      </c>
      <c r="M99" s="3" t="str">
        <f>IF(L99="Sí","Atraso heredado",IF(K99&lt;[1]Parámetros!$E$13,"Adelantado",IF(K99&lt;=[1]Parámetros!$E$14,"En ventana ±10%","Fuera de ventana")))</f>
        <v>Fuera de ventana</v>
      </c>
      <c r="N99" s="3">
        <f t="shared" si="3"/>
        <v>2027</v>
      </c>
    </row>
    <row r="100" spans="1:14" x14ac:dyDescent="0.3">
      <c r="A100" s="3">
        <v>33</v>
      </c>
      <c r="B100" s="4" t="s">
        <v>43</v>
      </c>
      <c r="C100" s="3" t="s">
        <v>19</v>
      </c>
      <c r="D100" s="5">
        <v>46588</v>
      </c>
      <c r="E100" s="5">
        <v>46591</v>
      </c>
      <c r="F100" s="3">
        <v>4</v>
      </c>
      <c r="G100" s="4" t="s">
        <v>27</v>
      </c>
      <c r="H100" s="3" t="s">
        <v>28</v>
      </c>
      <c r="I100" s="6">
        <v>2570</v>
      </c>
      <c r="J100" s="6">
        <f>INDEX([1]Parámetros!$C$4:$C$10,MATCH(G100,[1]Parámetros!$A$4:$A$10,0))</f>
        <v>3000</v>
      </c>
      <c r="K100" s="7">
        <f t="shared" si="2"/>
        <v>0.85666666666666669</v>
      </c>
      <c r="L100" s="3" t="s">
        <v>19</v>
      </c>
      <c r="M100" s="3" t="str">
        <f>IF(L100="Sí","Atraso heredado",IF(K100&lt;[1]Parámetros!$E$13,"Adelantado",IF(K100&lt;=[1]Parámetros!$E$14,"En ventana ±10%","Fuera de ventana")))</f>
        <v>Adelantado</v>
      </c>
      <c r="N100" s="3">
        <f t="shared" si="3"/>
        <v>2027</v>
      </c>
    </row>
    <row r="101" spans="1:14" x14ac:dyDescent="0.3">
      <c r="A101" s="3">
        <v>34</v>
      </c>
      <c r="B101" s="4" t="s">
        <v>30</v>
      </c>
      <c r="C101" s="3" t="s">
        <v>16</v>
      </c>
      <c r="D101" s="5">
        <v>46592</v>
      </c>
      <c r="E101" s="5">
        <v>46614</v>
      </c>
      <c r="F101" s="3">
        <v>23</v>
      </c>
      <c r="G101" s="4" t="s">
        <v>17</v>
      </c>
      <c r="H101" s="3" t="s">
        <v>18</v>
      </c>
      <c r="I101" s="6">
        <v>7318</v>
      </c>
      <c r="J101" s="6">
        <f>INDEX([1]Parámetros!$C$4:$C$10,MATCH(G101,[1]Parámetros!$A$4:$A$10,0))</f>
        <v>1500</v>
      </c>
      <c r="K101" s="7">
        <f t="shared" si="2"/>
        <v>4.8786666666666667</v>
      </c>
      <c r="L101" s="3" t="s">
        <v>19</v>
      </c>
      <c r="M101" s="3" t="str">
        <f>IF(L101="Sí","Atraso heredado",IF(K101&lt;[1]Parámetros!$E$13,"Adelantado",IF(K101&lt;=[1]Parámetros!$E$14,"En ventana ±10%","Fuera de ventana")))</f>
        <v>Fuera de ventana</v>
      </c>
      <c r="N101" s="3">
        <f t="shared" si="3"/>
        <v>2027</v>
      </c>
    </row>
    <row r="102" spans="1:14" x14ac:dyDescent="0.3">
      <c r="A102" s="3">
        <v>34</v>
      </c>
      <c r="B102" s="4" t="s">
        <v>30</v>
      </c>
      <c r="C102" s="3" t="s">
        <v>16</v>
      </c>
      <c r="D102" s="5">
        <v>46592</v>
      </c>
      <c r="E102" s="5">
        <v>46614</v>
      </c>
      <c r="F102" s="3">
        <v>23</v>
      </c>
      <c r="G102" s="4" t="s">
        <v>20</v>
      </c>
      <c r="H102" s="3" t="s">
        <v>21</v>
      </c>
      <c r="I102" s="6">
        <v>15184</v>
      </c>
      <c r="J102" s="6">
        <f>INDEX([1]Parámetros!$C$4:$C$10,MATCH(G102,[1]Parámetros!$A$4:$A$10,0))</f>
        <v>12000</v>
      </c>
      <c r="K102" s="7">
        <f t="shared" si="2"/>
        <v>1.2653333333333334</v>
      </c>
      <c r="L102" s="3" t="s">
        <v>19</v>
      </c>
      <c r="M102" s="3" t="str">
        <f>IF(L102="Sí","Atraso heredado",IF(K102&lt;[1]Parámetros!$E$13,"Adelantado",IF(K102&lt;=[1]Parámetros!$E$14,"En ventana ±10%","Fuera de ventana")))</f>
        <v>Fuera de ventana</v>
      </c>
      <c r="N102" s="3">
        <f t="shared" si="3"/>
        <v>2027</v>
      </c>
    </row>
    <row r="103" spans="1:14" x14ac:dyDescent="0.3">
      <c r="A103" s="3">
        <v>34</v>
      </c>
      <c r="B103" s="4" t="s">
        <v>30</v>
      </c>
      <c r="C103" s="3" t="s">
        <v>16</v>
      </c>
      <c r="D103" s="5">
        <v>46592</v>
      </c>
      <c r="E103" s="5">
        <v>46614</v>
      </c>
      <c r="F103" s="3">
        <v>23</v>
      </c>
      <c r="G103" s="4" t="s">
        <v>22</v>
      </c>
      <c r="H103" s="3" t="s">
        <v>23</v>
      </c>
      <c r="I103" s="6">
        <v>15184</v>
      </c>
      <c r="J103" s="6">
        <f>INDEX([1]Parámetros!$C$4:$C$10,MATCH(G103,[1]Parámetros!$A$4:$A$10,0))</f>
        <v>12000</v>
      </c>
      <c r="K103" s="7">
        <f t="shared" si="2"/>
        <v>1.2653333333333334</v>
      </c>
      <c r="L103" s="3" t="s">
        <v>19</v>
      </c>
      <c r="M103" s="3" t="str">
        <f>IF(L103="Sí","Atraso heredado",IF(K103&lt;[1]Parámetros!$E$13,"Adelantado",IF(K103&lt;=[1]Parámetros!$E$14,"En ventana ±10%","Fuera de ventana")))</f>
        <v>Fuera de ventana</v>
      </c>
      <c r="N103" s="3">
        <f t="shared" si="3"/>
        <v>2027</v>
      </c>
    </row>
    <row r="104" spans="1:14" x14ac:dyDescent="0.3">
      <c r="A104" s="3">
        <v>34</v>
      </c>
      <c r="B104" s="4" t="s">
        <v>30</v>
      </c>
      <c r="C104" s="3" t="s">
        <v>16</v>
      </c>
      <c r="D104" s="5">
        <v>46592</v>
      </c>
      <c r="E104" s="5">
        <v>46614</v>
      </c>
      <c r="F104" s="3">
        <v>23</v>
      </c>
      <c r="G104" s="4" t="s">
        <v>31</v>
      </c>
      <c r="H104" s="3" t="s">
        <v>32</v>
      </c>
      <c r="I104" s="6">
        <v>8150</v>
      </c>
      <c r="J104" s="6">
        <f>INDEX([1]Parámetros!$C$4:$C$10,MATCH(G104,[1]Parámetros!$A$4:$A$10,0))</f>
        <v>6000</v>
      </c>
      <c r="K104" s="7">
        <f t="shared" si="2"/>
        <v>1.3583333333333334</v>
      </c>
      <c r="L104" s="3" t="s">
        <v>19</v>
      </c>
      <c r="M104" s="3" t="str">
        <f>IF(L104="Sí","Atraso heredado",IF(K104&lt;[1]Parámetros!$E$13,"Adelantado",IF(K104&lt;=[1]Parámetros!$E$14,"En ventana ±10%","Fuera de ventana")))</f>
        <v>Fuera de ventana</v>
      </c>
      <c r="N104" s="3">
        <f t="shared" si="3"/>
        <v>2027</v>
      </c>
    </row>
    <row r="105" spans="1:14" x14ac:dyDescent="0.3">
      <c r="A105" s="3">
        <v>34</v>
      </c>
      <c r="B105" s="4" t="s">
        <v>30</v>
      </c>
      <c r="C105" s="3" t="s">
        <v>16</v>
      </c>
      <c r="D105" s="5">
        <v>46592</v>
      </c>
      <c r="E105" s="5">
        <v>46614</v>
      </c>
      <c r="F105" s="3">
        <v>23</v>
      </c>
      <c r="G105" s="4" t="s">
        <v>27</v>
      </c>
      <c r="H105" s="3" t="s">
        <v>28</v>
      </c>
      <c r="I105" s="6">
        <v>8150</v>
      </c>
      <c r="J105" s="6">
        <f>INDEX([1]Parámetros!$C$4:$C$10,MATCH(G105,[1]Parámetros!$A$4:$A$10,0))</f>
        <v>3000</v>
      </c>
      <c r="K105" s="7">
        <f t="shared" si="2"/>
        <v>2.7166666666666668</v>
      </c>
      <c r="L105" s="3" t="s">
        <v>19</v>
      </c>
      <c r="M105" s="3" t="str">
        <f>IF(L105="Sí","Atraso heredado",IF(K105&lt;[1]Parámetros!$E$13,"Adelantado",IF(K105&lt;=[1]Parámetros!$E$14,"En ventana ±10%","Fuera de ventana")))</f>
        <v>Fuera de ventana</v>
      </c>
      <c r="N105" s="3">
        <f t="shared" si="3"/>
        <v>2027</v>
      </c>
    </row>
    <row r="106" spans="1:14" x14ac:dyDescent="0.3">
      <c r="A106" s="3">
        <v>35</v>
      </c>
      <c r="B106" s="4" t="s">
        <v>15</v>
      </c>
      <c r="C106" s="3" t="s">
        <v>16</v>
      </c>
      <c r="D106" s="5">
        <v>46615</v>
      </c>
      <c r="E106" s="5">
        <v>46626</v>
      </c>
      <c r="F106" s="3">
        <v>12</v>
      </c>
      <c r="G106" s="4" t="s">
        <v>17</v>
      </c>
      <c r="H106" s="3" t="s">
        <v>18</v>
      </c>
      <c r="I106" s="6">
        <v>7271</v>
      </c>
      <c r="J106" s="6">
        <f>INDEX([1]Parámetros!$C$4:$C$10,MATCH(G106,[1]Parámetros!$A$4:$A$10,0))</f>
        <v>1500</v>
      </c>
      <c r="K106" s="7">
        <f t="shared" si="2"/>
        <v>4.8473333333333333</v>
      </c>
      <c r="L106" s="3" t="s">
        <v>19</v>
      </c>
      <c r="M106" s="3" t="str">
        <f>IF(L106="Sí","Atraso heredado",IF(K106&lt;[1]Parámetros!$E$13,"Adelantado",IF(K106&lt;=[1]Parámetros!$E$14,"En ventana ±10%","Fuera de ventana")))</f>
        <v>Fuera de ventana</v>
      </c>
      <c r="N106" s="3">
        <f t="shared" si="3"/>
        <v>2027</v>
      </c>
    </row>
    <row r="107" spans="1:14" x14ac:dyDescent="0.3">
      <c r="A107" s="3">
        <v>35</v>
      </c>
      <c r="B107" s="4" t="s">
        <v>15</v>
      </c>
      <c r="C107" s="3" t="s">
        <v>16</v>
      </c>
      <c r="D107" s="5">
        <v>46615</v>
      </c>
      <c r="E107" s="5">
        <v>46626</v>
      </c>
      <c r="F107" s="3">
        <v>12</v>
      </c>
      <c r="G107" s="4" t="s">
        <v>31</v>
      </c>
      <c r="H107" s="3" t="s">
        <v>32</v>
      </c>
      <c r="I107" s="6">
        <v>9171</v>
      </c>
      <c r="J107" s="6">
        <f>INDEX([1]Parámetros!$C$4:$C$10,MATCH(G107,[1]Parámetros!$A$4:$A$10,0))</f>
        <v>6000</v>
      </c>
      <c r="K107" s="7">
        <f t="shared" si="2"/>
        <v>1.5285</v>
      </c>
      <c r="L107" s="3" t="s">
        <v>19</v>
      </c>
      <c r="M107" s="3" t="str">
        <f>IF(L107="Sí","Atraso heredado",IF(K107&lt;[1]Parámetros!$E$13,"Adelantado",IF(K107&lt;=[1]Parámetros!$E$14,"En ventana ±10%","Fuera de ventana")))</f>
        <v>Fuera de ventana</v>
      </c>
      <c r="N107" s="3">
        <f t="shared" si="3"/>
        <v>2027</v>
      </c>
    </row>
    <row r="108" spans="1:14" x14ac:dyDescent="0.3">
      <c r="A108" s="3">
        <v>35</v>
      </c>
      <c r="B108" s="4" t="s">
        <v>15</v>
      </c>
      <c r="C108" s="3" t="s">
        <v>16</v>
      </c>
      <c r="D108" s="5">
        <v>46615</v>
      </c>
      <c r="E108" s="5">
        <v>46626</v>
      </c>
      <c r="F108" s="3">
        <v>12</v>
      </c>
      <c r="G108" s="4" t="s">
        <v>33</v>
      </c>
      <c r="H108" s="3" t="s">
        <v>34</v>
      </c>
      <c r="I108" s="6">
        <v>12253</v>
      </c>
      <c r="J108" s="6">
        <f>INDEX([1]Parámetros!$C$4:$C$10,MATCH(G108,[1]Parámetros!$A$4:$A$10,0))</f>
        <v>12000</v>
      </c>
      <c r="K108" s="7">
        <f t="shared" si="2"/>
        <v>1.0210833333333333</v>
      </c>
      <c r="L108" s="3" t="s">
        <v>19</v>
      </c>
      <c r="M108" s="3" t="str">
        <f>IF(L108="Sí","Atraso heredado",IF(K108&lt;[1]Parámetros!$E$13,"Adelantado",IF(K108&lt;=[1]Parámetros!$E$14,"En ventana ±10%","Fuera de ventana")))</f>
        <v>En ventana ±10%</v>
      </c>
      <c r="N108" s="3">
        <f t="shared" si="3"/>
        <v>2027</v>
      </c>
    </row>
    <row r="109" spans="1:14" x14ac:dyDescent="0.3">
      <c r="A109" s="3">
        <v>35</v>
      </c>
      <c r="B109" s="4" t="s">
        <v>15</v>
      </c>
      <c r="C109" s="3" t="s">
        <v>16</v>
      </c>
      <c r="D109" s="5">
        <v>46615</v>
      </c>
      <c r="E109" s="5">
        <v>46626</v>
      </c>
      <c r="F109" s="3">
        <v>12</v>
      </c>
      <c r="G109" s="4" t="s">
        <v>27</v>
      </c>
      <c r="H109" s="3" t="s">
        <v>28</v>
      </c>
      <c r="I109" s="6">
        <v>9171</v>
      </c>
      <c r="J109" s="6">
        <f>INDEX([1]Parámetros!$C$4:$C$10,MATCH(G109,[1]Parámetros!$A$4:$A$10,0))</f>
        <v>3000</v>
      </c>
      <c r="K109" s="7">
        <f t="shared" si="2"/>
        <v>3.0569999999999999</v>
      </c>
      <c r="L109" s="3" t="s">
        <v>19</v>
      </c>
      <c r="M109" s="3" t="str">
        <f>IF(L109="Sí","Atraso heredado",IF(K109&lt;[1]Parámetros!$E$13,"Adelantado",IF(K109&lt;=[1]Parámetros!$E$14,"En ventana ±10%","Fuera de ventana")))</f>
        <v>Fuera de ventana</v>
      </c>
      <c r="N109" s="3">
        <f t="shared" si="3"/>
        <v>2027</v>
      </c>
    </row>
    <row r="110" spans="1:14" x14ac:dyDescent="0.3">
      <c r="A110" s="3">
        <v>36</v>
      </c>
      <c r="B110" s="4" t="s">
        <v>44</v>
      </c>
      <c r="C110" s="3" t="s">
        <v>19</v>
      </c>
      <c r="D110" s="5">
        <v>46627</v>
      </c>
      <c r="E110" s="5">
        <v>46630</v>
      </c>
      <c r="F110" s="3">
        <v>4</v>
      </c>
      <c r="G110" s="4" t="s">
        <v>27</v>
      </c>
      <c r="H110" s="3" t="s">
        <v>28</v>
      </c>
      <c r="I110" s="6">
        <v>2635</v>
      </c>
      <c r="J110" s="6">
        <f>INDEX([1]Parámetros!$C$4:$C$10,MATCH(G110,[1]Parámetros!$A$4:$A$10,0))</f>
        <v>3000</v>
      </c>
      <c r="K110" s="7">
        <f t="shared" si="2"/>
        <v>0.8783333333333333</v>
      </c>
      <c r="L110" s="3" t="s">
        <v>19</v>
      </c>
      <c r="M110" s="3" t="str">
        <f>IF(L110="Sí","Atraso heredado",IF(K110&lt;[1]Parámetros!$E$13,"Adelantado",IF(K110&lt;=[1]Parámetros!$E$14,"En ventana ±10%","Fuera de ventana")))</f>
        <v>Adelantado</v>
      </c>
      <c r="N110" s="3">
        <f t="shared" si="3"/>
        <v>2027</v>
      </c>
    </row>
    <row r="111" spans="1:14" x14ac:dyDescent="0.3">
      <c r="A111" s="3">
        <v>37</v>
      </c>
      <c r="B111" s="4" t="s">
        <v>37</v>
      </c>
      <c r="C111" s="3" t="s">
        <v>16</v>
      </c>
      <c r="D111" s="5">
        <v>46631</v>
      </c>
      <c r="E111" s="5">
        <v>46638</v>
      </c>
      <c r="F111" s="3">
        <v>8</v>
      </c>
      <c r="G111" s="4" t="s">
        <v>17</v>
      </c>
      <c r="H111" s="3" t="s">
        <v>18</v>
      </c>
      <c r="I111" s="6">
        <v>6510</v>
      </c>
      <c r="J111" s="6">
        <f>INDEX([1]Parámetros!$C$4:$C$10,MATCH(G111,[1]Parámetros!$A$4:$A$10,0))</f>
        <v>1500</v>
      </c>
      <c r="K111" s="7">
        <f t="shared" si="2"/>
        <v>4.34</v>
      </c>
      <c r="L111" s="3" t="s">
        <v>19</v>
      </c>
      <c r="M111" s="3" t="str">
        <f>IF(L111="Sí","Atraso heredado",IF(K111&lt;[1]Parámetros!$E$13,"Adelantado",IF(K111&lt;=[1]Parámetros!$E$14,"En ventana ±10%","Fuera de ventana")))</f>
        <v>Fuera de ventana</v>
      </c>
      <c r="N111" s="3">
        <f t="shared" si="3"/>
        <v>2027</v>
      </c>
    </row>
    <row r="112" spans="1:14" x14ac:dyDescent="0.3">
      <c r="A112" s="3">
        <v>37</v>
      </c>
      <c r="B112" s="4" t="s">
        <v>37</v>
      </c>
      <c r="C112" s="3" t="s">
        <v>16</v>
      </c>
      <c r="D112" s="5">
        <v>46631</v>
      </c>
      <c r="E112" s="5">
        <v>46638</v>
      </c>
      <c r="F112" s="3">
        <v>8</v>
      </c>
      <c r="G112" s="4" t="s">
        <v>31</v>
      </c>
      <c r="H112" s="3" t="s">
        <v>32</v>
      </c>
      <c r="I112" s="6">
        <v>8245</v>
      </c>
      <c r="J112" s="6">
        <f>INDEX([1]Parámetros!$C$4:$C$10,MATCH(G112,[1]Parámetros!$A$4:$A$10,0))</f>
        <v>6000</v>
      </c>
      <c r="K112" s="7">
        <f t="shared" si="2"/>
        <v>1.3741666666666668</v>
      </c>
      <c r="L112" s="3" t="s">
        <v>19</v>
      </c>
      <c r="M112" s="3" t="str">
        <f>IF(L112="Sí","Atraso heredado",IF(K112&lt;[1]Parámetros!$E$13,"Adelantado",IF(K112&lt;=[1]Parámetros!$E$14,"En ventana ±10%","Fuera de ventana")))</f>
        <v>Fuera de ventana</v>
      </c>
      <c r="N112" s="3">
        <f t="shared" si="3"/>
        <v>2027</v>
      </c>
    </row>
    <row r="113" spans="1:14" x14ac:dyDescent="0.3">
      <c r="A113" s="3">
        <v>37</v>
      </c>
      <c r="B113" s="4" t="s">
        <v>37</v>
      </c>
      <c r="C113" s="3" t="s">
        <v>16</v>
      </c>
      <c r="D113" s="5">
        <v>46631</v>
      </c>
      <c r="E113" s="5">
        <v>46638</v>
      </c>
      <c r="F113" s="3">
        <v>8</v>
      </c>
      <c r="G113" s="4" t="s">
        <v>27</v>
      </c>
      <c r="H113" s="3" t="s">
        <v>28</v>
      </c>
      <c r="I113" s="6">
        <v>8245</v>
      </c>
      <c r="J113" s="6">
        <f>INDEX([1]Parámetros!$C$4:$C$10,MATCH(G113,[1]Parámetros!$A$4:$A$10,0))</f>
        <v>3000</v>
      </c>
      <c r="K113" s="7">
        <f t="shared" si="2"/>
        <v>2.7483333333333335</v>
      </c>
      <c r="L113" s="3" t="s">
        <v>19</v>
      </c>
      <c r="M113" s="3" t="str">
        <f>IF(L113="Sí","Atraso heredado",IF(K113&lt;[1]Parámetros!$E$13,"Adelantado",IF(K113&lt;=[1]Parámetros!$E$14,"En ventana ±10%","Fuera de ventana")))</f>
        <v>Fuera de ventana</v>
      </c>
      <c r="N113" s="3">
        <f t="shared" si="3"/>
        <v>2027</v>
      </c>
    </row>
    <row r="114" spans="1:14" x14ac:dyDescent="0.3">
      <c r="A114" s="3">
        <v>38</v>
      </c>
      <c r="B114" s="4" t="s">
        <v>35</v>
      </c>
      <c r="C114" s="3" t="s">
        <v>16</v>
      </c>
      <c r="D114" s="5">
        <v>46639</v>
      </c>
      <c r="E114" s="5">
        <v>46646</v>
      </c>
      <c r="F114" s="3">
        <v>8</v>
      </c>
      <c r="G114" s="4" t="s">
        <v>17</v>
      </c>
      <c r="H114" s="3" t="s">
        <v>18</v>
      </c>
      <c r="I114" s="6">
        <v>4586</v>
      </c>
      <c r="J114" s="6">
        <f>INDEX([1]Parámetros!$C$4:$C$10,MATCH(G114,[1]Parámetros!$A$4:$A$10,0))</f>
        <v>1500</v>
      </c>
      <c r="K114" s="7">
        <f t="shared" si="2"/>
        <v>3.0573333333333332</v>
      </c>
      <c r="L114" s="3" t="s">
        <v>19</v>
      </c>
      <c r="M114" s="3" t="str">
        <f>IF(L114="Sí","Atraso heredado",IF(K114&lt;[1]Parámetros!$E$13,"Adelantado",IF(K114&lt;=[1]Parámetros!$E$14,"En ventana ±10%","Fuera de ventana")))</f>
        <v>Fuera de ventana</v>
      </c>
      <c r="N114" s="3">
        <f t="shared" si="3"/>
        <v>2027</v>
      </c>
    </row>
    <row r="115" spans="1:14" x14ac:dyDescent="0.3">
      <c r="A115" s="3">
        <v>38</v>
      </c>
      <c r="B115" s="4" t="s">
        <v>35</v>
      </c>
      <c r="C115" s="3" t="s">
        <v>16</v>
      </c>
      <c r="D115" s="5">
        <v>46639</v>
      </c>
      <c r="E115" s="5">
        <v>46646</v>
      </c>
      <c r="F115" s="3">
        <v>8</v>
      </c>
      <c r="G115" s="4" t="s">
        <v>31</v>
      </c>
      <c r="H115" s="3" t="s">
        <v>32</v>
      </c>
      <c r="I115" s="6">
        <v>6106</v>
      </c>
      <c r="J115" s="6">
        <f>INDEX([1]Parámetros!$C$4:$C$10,MATCH(G115,[1]Parámetros!$A$4:$A$10,0))</f>
        <v>6000</v>
      </c>
      <c r="K115" s="7">
        <f t="shared" si="2"/>
        <v>1.0176666666666667</v>
      </c>
      <c r="L115" s="3" t="s">
        <v>19</v>
      </c>
      <c r="M115" s="3" t="str">
        <f>IF(L115="Sí","Atraso heredado",IF(K115&lt;[1]Parámetros!$E$13,"Adelantado",IF(K115&lt;=[1]Parámetros!$E$14,"En ventana ±10%","Fuera de ventana")))</f>
        <v>En ventana ±10%</v>
      </c>
      <c r="N115" s="3">
        <f t="shared" si="3"/>
        <v>2027</v>
      </c>
    </row>
    <row r="116" spans="1:14" x14ac:dyDescent="0.3">
      <c r="A116" s="3">
        <v>38</v>
      </c>
      <c r="B116" s="4" t="s">
        <v>35</v>
      </c>
      <c r="C116" s="3" t="s">
        <v>16</v>
      </c>
      <c r="D116" s="5">
        <v>46639</v>
      </c>
      <c r="E116" s="5">
        <v>46646</v>
      </c>
      <c r="F116" s="3">
        <v>8</v>
      </c>
      <c r="G116" s="4" t="s">
        <v>27</v>
      </c>
      <c r="H116" s="3" t="s">
        <v>28</v>
      </c>
      <c r="I116" s="6">
        <v>6106</v>
      </c>
      <c r="J116" s="6">
        <f>INDEX([1]Parámetros!$C$4:$C$10,MATCH(G116,[1]Parámetros!$A$4:$A$10,0))</f>
        <v>3000</v>
      </c>
      <c r="K116" s="7">
        <f t="shared" si="2"/>
        <v>2.0353333333333334</v>
      </c>
      <c r="L116" s="3" t="s">
        <v>19</v>
      </c>
      <c r="M116" s="3" t="str">
        <f>IF(L116="Sí","Atraso heredado",IF(K116&lt;[1]Parámetros!$E$13,"Adelantado",IF(K116&lt;=[1]Parámetros!$E$14,"En ventana ±10%","Fuera de ventana")))</f>
        <v>Fuera de ventana</v>
      </c>
      <c r="N116" s="3">
        <f t="shared" si="3"/>
        <v>2027</v>
      </c>
    </row>
    <row r="117" spans="1:14" x14ac:dyDescent="0.3">
      <c r="A117" s="3">
        <v>39</v>
      </c>
      <c r="B117" s="4" t="s">
        <v>38</v>
      </c>
      <c r="C117" s="3" t="s">
        <v>16</v>
      </c>
      <c r="D117" s="5">
        <v>46647</v>
      </c>
      <c r="E117" s="5">
        <v>46658</v>
      </c>
      <c r="F117" s="3">
        <v>12</v>
      </c>
      <c r="G117" s="4" t="s">
        <v>17</v>
      </c>
      <c r="H117" s="3" t="s">
        <v>18</v>
      </c>
      <c r="I117" s="6">
        <v>4015</v>
      </c>
      <c r="J117" s="6">
        <f>INDEX([1]Parámetros!$C$4:$C$10,MATCH(G117,[1]Parámetros!$A$4:$A$10,0))</f>
        <v>1500</v>
      </c>
      <c r="K117" s="7">
        <f t="shared" si="2"/>
        <v>2.6766666666666667</v>
      </c>
      <c r="L117" s="3" t="s">
        <v>19</v>
      </c>
      <c r="M117" s="3" t="str">
        <f>IF(L117="Sí","Atraso heredado",IF(K117&lt;[1]Parámetros!$E$13,"Adelantado",IF(K117&lt;=[1]Parámetros!$E$14,"En ventana ±10%","Fuera de ventana")))</f>
        <v>Fuera de ventana</v>
      </c>
      <c r="N117" s="3">
        <f t="shared" si="3"/>
        <v>2027</v>
      </c>
    </row>
    <row r="118" spans="1:14" x14ac:dyDescent="0.3">
      <c r="A118" s="3">
        <v>39</v>
      </c>
      <c r="B118" s="4" t="s">
        <v>38</v>
      </c>
      <c r="C118" s="3" t="s">
        <v>16</v>
      </c>
      <c r="D118" s="5">
        <v>46647</v>
      </c>
      <c r="E118" s="5">
        <v>46658</v>
      </c>
      <c r="F118" s="3">
        <v>12</v>
      </c>
      <c r="G118" s="4" t="s">
        <v>31</v>
      </c>
      <c r="H118" s="3" t="s">
        <v>32</v>
      </c>
      <c r="I118" s="6">
        <v>7888</v>
      </c>
      <c r="J118" s="6">
        <f>INDEX([1]Parámetros!$C$4:$C$10,MATCH(G118,[1]Parámetros!$A$4:$A$10,0))</f>
        <v>6000</v>
      </c>
      <c r="K118" s="7">
        <f t="shared" si="2"/>
        <v>1.3146666666666667</v>
      </c>
      <c r="L118" s="3" t="s">
        <v>19</v>
      </c>
      <c r="M118" s="3" t="str">
        <f>IF(L118="Sí","Atraso heredado",IF(K118&lt;[1]Parámetros!$E$13,"Adelantado",IF(K118&lt;=[1]Parámetros!$E$14,"En ventana ±10%","Fuera de ventana")))</f>
        <v>Fuera de ventana</v>
      </c>
      <c r="N118" s="3">
        <f t="shared" si="3"/>
        <v>2027</v>
      </c>
    </row>
    <row r="119" spans="1:14" x14ac:dyDescent="0.3">
      <c r="A119" s="3">
        <v>39</v>
      </c>
      <c r="B119" s="4" t="s">
        <v>38</v>
      </c>
      <c r="C119" s="3" t="s">
        <v>16</v>
      </c>
      <c r="D119" s="5">
        <v>46647</v>
      </c>
      <c r="E119" s="5">
        <v>46658</v>
      </c>
      <c r="F119" s="3">
        <v>12</v>
      </c>
      <c r="G119" s="4" t="s">
        <v>33</v>
      </c>
      <c r="H119" s="3" t="s">
        <v>34</v>
      </c>
      <c r="I119" s="6">
        <v>13483</v>
      </c>
      <c r="J119" s="6">
        <f>INDEX([1]Parámetros!$C$4:$C$10,MATCH(G119,[1]Parámetros!$A$4:$A$10,0))</f>
        <v>12000</v>
      </c>
      <c r="K119" s="7">
        <f t="shared" si="2"/>
        <v>1.1235833333333334</v>
      </c>
      <c r="L119" s="3" t="s">
        <v>19</v>
      </c>
      <c r="M119" s="3" t="str">
        <f>IF(L119="Sí","Atraso heredado",IF(K119&lt;[1]Parámetros!$E$13,"Adelantado",IF(K119&lt;=[1]Parámetros!$E$14,"En ventana ±10%","Fuera de ventana")))</f>
        <v>Fuera de ventana</v>
      </c>
      <c r="N119" s="3">
        <f t="shared" si="3"/>
        <v>2027</v>
      </c>
    </row>
    <row r="120" spans="1:14" x14ac:dyDescent="0.3">
      <c r="A120" s="3">
        <v>39</v>
      </c>
      <c r="B120" s="4" t="s">
        <v>38</v>
      </c>
      <c r="C120" s="3" t="s">
        <v>16</v>
      </c>
      <c r="D120" s="5">
        <v>46647</v>
      </c>
      <c r="E120" s="5">
        <v>46658</v>
      </c>
      <c r="F120" s="3">
        <v>12</v>
      </c>
      <c r="G120" s="4" t="s">
        <v>27</v>
      </c>
      <c r="H120" s="3" t="s">
        <v>28</v>
      </c>
      <c r="I120" s="6">
        <v>4776</v>
      </c>
      <c r="J120" s="6">
        <f>INDEX([1]Parámetros!$C$4:$C$10,MATCH(G120,[1]Parámetros!$A$4:$A$10,0))</f>
        <v>3000</v>
      </c>
      <c r="K120" s="7">
        <f t="shared" si="2"/>
        <v>1.5920000000000001</v>
      </c>
      <c r="L120" s="3" t="s">
        <v>19</v>
      </c>
      <c r="M120" s="3" t="str">
        <f>IF(L120="Sí","Atraso heredado",IF(K120&lt;[1]Parámetros!$E$13,"Adelantado",IF(K120&lt;=[1]Parámetros!$E$14,"En ventana ±10%","Fuera de ventana")))</f>
        <v>Fuera de ventana</v>
      </c>
      <c r="N120" s="3">
        <f t="shared" si="3"/>
        <v>2027</v>
      </c>
    </row>
    <row r="121" spans="1:14" x14ac:dyDescent="0.3">
      <c r="A121" s="3">
        <v>40</v>
      </c>
      <c r="B121" s="4" t="s">
        <v>29</v>
      </c>
      <c r="C121" s="3" t="s">
        <v>16</v>
      </c>
      <c r="D121" s="5">
        <v>46659</v>
      </c>
      <c r="E121" s="5">
        <v>46681</v>
      </c>
      <c r="F121" s="3">
        <v>23</v>
      </c>
      <c r="G121" s="4" t="s">
        <v>17</v>
      </c>
      <c r="H121" s="3" t="s">
        <v>18</v>
      </c>
      <c r="I121" s="6">
        <v>3516</v>
      </c>
      <c r="J121" s="6">
        <f>INDEX([1]Parámetros!$C$4:$C$10,MATCH(G121,[1]Parámetros!$A$4:$A$10,0))</f>
        <v>1500</v>
      </c>
      <c r="K121" s="7">
        <f t="shared" si="2"/>
        <v>2.3439999999999999</v>
      </c>
      <c r="L121" s="3" t="s">
        <v>19</v>
      </c>
      <c r="M121" s="3" t="str">
        <f>IF(L121="Sí","Atraso heredado",IF(K121&lt;[1]Parámetros!$E$13,"Adelantado",IF(K121&lt;=[1]Parámetros!$E$14,"En ventana ±10%","Fuera de ventana")))</f>
        <v>Fuera de ventana</v>
      </c>
      <c r="N121" s="3">
        <f t="shared" si="3"/>
        <v>2027</v>
      </c>
    </row>
    <row r="122" spans="1:14" x14ac:dyDescent="0.3">
      <c r="A122" s="3">
        <v>40</v>
      </c>
      <c r="B122" s="4" t="s">
        <v>29</v>
      </c>
      <c r="C122" s="3" t="s">
        <v>16</v>
      </c>
      <c r="D122" s="5">
        <v>46659</v>
      </c>
      <c r="E122" s="5">
        <v>46681</v>
      </c>
      <c r="F122" s="3">
        <v>23</v>
      </c>
      <c r="G122" s="4" t="s">
        <v>20</v>
      </c>
      <c r="H122" s="3" t="s">
        <v>21</v>
      </c>
      <c r="I122" s="6">
        <v>11276</v>
      </c>
      <c r="J122" s="6">
        <f>INDEX([1]Parámetros!$C$4:$C$10,MATCH(G122,[1]Parámetros!$A$4:$A$10,0))</f>
        <v>12000</v>
      </c>
      <c r="K122" s="7">
        <f t="shared" si="2"/>
        <v>0.93966666666666665</v>
      </c>
      <c r="L122" s="3" t="s">
        <v>19</v>
      </c>
      <c r="M122" s="3" t="str">
        <f>IF(L122="Sí","Atraso heredado",IF(K122&lt;[1]Parámetros!$E$13,"Adelantado",IF(K122&lt;=[1]Parámetros!$E$14,"En ventana ±10%","Fuera de ventana")))</f>
        <v>En ventana ±10%</v>
      </c>
      <c r="N122" s="3">
        <f t="shared" si="3"/>
        <v>2027</v>
      </c>
    </row>
    <row r="123" spans="1:14" x14ac:dyDescent="0.3">
      <c r="A123" s="3">
        <v>40</v>
      </c>
      <c r="B123" s="4" t="s">
        <v>29</v>
      </c>
      <c r="C123" s="3" t="s">
        <v>16</v>
      </c>
      <c r="D123" s="5">
        <v>46659</v>
      </c>
      <c r="E123" s="5">
        <v>46681</v>
      </c>
      <c r="F123" s="3">
        <v>23</v>
      </c>
      <c r="G123" s="4" t="s">
        <v>22</v>
      </c>
      <c r="H123" s="3" t="s">
        <v>23</v>
      </c>
      <c r="I123" s="6">
        <v>11276</v>
      </c>
      <c r="J123" s="6">
        <f>INDEX([1]Parámetros!$C$4:$C$10,MATCH(G123,[1]Parámetros!$A$4:$A$10,0))</f>
        <v>12000</v>
      </c>
      <c r="K123" s="7">
        <f t="shared" si="2"/>
        <v>0.93966666666666665</v>
      </c>
      <c r="L123" s="3" t="s">
        <v>19</v>
      </c>
      <c r="M123" s="3" t="str">
        <f>IF(L123="Sí","Atraso heredado",IF(K123&lt;[1]Parámetros!$E$13,"Adelantado",IF(K123&lt;=[1]Parámetros!$E$14,"En ventana ±10%","Fuera de ventana")))</f>
        <v>En ventana ±10%</v>
      </c>
      <c r="N123" s="3">
        <f t="shared" si="3"/>
        <v>2027</v>
      </c>
    </row>
    <row r="124" spans="1:14" x14ac:dyDescent="0.3">
      <c r="A124" s="3">
        <v>40</v>
      </c>
      <c r="B124" s="4" t="s">
        <v>29</v>
      </c>
      <c r="C124" s="3" t="s">
        <v>16</v>
      </c>
      <c r="D124" s="5">
        <v>46659</v>
      </c>
      <c r="E124" s="5">
        <v>46681</v>
      </c>
      <c r="F124" s="3">
        <v>23</v>
      </c>
      <c r="G124" s="4" t="s">
        <v>27</v>
      </c>
      <c r="H124" s="3" t="s">
        <v>28</v>
      </c>
      <c r="I124" s="6">
        <v>5156</v>
      </c>
      <c r="J124" s="6">
        <f>INDEX([1]Parámetros!$C$4:$C$10,MATCH(G124,[1]Parámetros!$A$4:$A$10,0))</f>
        <v>3000</v>
      </c>
      <c r="K124" s="7">
        <f t="shared" si="2"/>
        <v>1.7186666666666666</v>
      </c>
      <c r="L124" s="3" t="s">
        <v>19</v>
      </c>
      <c r="M124" s="3" t="str">
        <f>IF(L124="Sí","Atraso heredado",IF(K124&lt;[1]Parámetros!$E$13,"Adelantado",IF(K124&lt;=[1]Parámetros!$E$14,"En ventana ±10%","Fuera de ventana")))</f>
        <v>Fuera de ventana</v>
      </c>
      <c r="N124" s="3">
        <f t="shared" si="3"/>
        <v>2027</v>
      </c>
    </row>
    <row r="125" spans="1:14" x14ac:dyDescent="0.3">
      <c r="A125" s="3">
        <v>41</v>
      </c>
      <c r="B125" s="4" t="s">
        <v>30</v>
      </c>
      <c r="C125" s="3" t="s">
        <v>16</v>
      </c>
      <c r="D125" s="5">
        <v>46682</v>
      </c>
      <c r="E125" s="5">
        <v>46683</v>
      </c>
      <c r="F125" s="3">
        <v>2</v>
      </c>
      <c r="G125" s="4" t="s">
        <v>17</v>
      </c>
      <c r="H125" s="3" t="s">
        <v>18</v>
      </c>
      <c r="I125" s="6">
        <v>1592</v>
      </c>
      <c r="J125" s="6">
        <f>INDEX([1]Parámetros!$C$4:$C$10,MATCH(G125,[1]Parámetros!$A$4:$A$10,0))</f>
        <v>1500</v>
      </c>
      <c r="K125" s="7">
        <f t="shared" si="2"/>
        <v>1.0613333333333332</v>
      </c>
      <c r="L125" s="3" t="s">
        <v>19</v>
      </c>
      <c r="M125" s="3" t="str">
        <f>IF(L125="Sí","Atraso heredado",IF(K125&lt;[1]Parámetros!$E$13,"Adelantado",IF(K125&lt;=[1]Parámetros!$E$14,"En ventana ±10%","Fuera de ventana")))</f>
        <v>En ventana ±10%</v>
      </c>
      <c r="N125" s="3">
        <f t="shared" si="3"/>
        <v>2027</v>
      </c>
    </row>
    <row r="126" spans="1:14" x14ac:dyDescent="0.3">
      <c r="A126" s="3">
        <v>42</v>
      </c>
      <c r="B126" s="4" t="s">
        <v>45</v>
      </c>
      <c r="C126" s="3" t="s">
        <v>19</v>
      </c>
      <c r="D126" s="5">
        <v>46684</v>
      </c>
      <c r="E126" s="5">
        <v>46687</v>
      </c>
      <c r="F126" s="3">
        <v>4</v>
      </c>
      <c r="G126" s="4" t="s">
        <v>27</v>
      </c>
      <c r="H126" s="3" t="s">
        <v>28</v>
      </c>
      <c r="I126" s="6">
        <v>3240</v>
      </c>
      <c r="J126" s="6">
        <f>INDEX([1]Parámetros!$C$4:$C$10,MATCH(G126,[1]Parámetros!$A$4:$A$10,0))</f>
        <v>3000</v>
      </c>
      <c r="K126" s="7">
        <f t="shared" si="2"/>
        <v>1.08</v>
      </c>
      <c r="L126" s="3" t="s">
        <v>19</v>
      </c>
      <c r="M126" s="3" t="str">
        <f>IF(L126="Sí","Atraso heredado",IF(K126&lt;[1]Parámetros!$E$13,"Adelantado",IF(K126&lt;=[1]Parámetros!$E$14,"En ventana ±10%","Fuera de ventana")))</f>
        <v>En ventana ±10%</v>
      </c>
      <c r="N126" s="3">
        <f t="shared" si="3"/>
        <v>2027</v>
      </c>
    </row>
    <row r="127" spans="1:14" x14ac:dyDescent="0.3">
      <c r="A127" s="3">
        <v>43</v>
      </c>
      <c r="B127" s="4" t="s">
        <v>15</v>
      </c>
      <c r="C127" s="3" t="s">
        <v>16</v>
      </c>
      <c r="D127" s="5">
        <v>46688</v>
      </c>
      <c r="E127" s="5">
        <v>46689</v>
      </c>
      <c r="F127" s="3">
        <v>2</v>
      </c>
      <c r="G127" s="4" t="s">
        <v>17</v>
      </c>
      <c r="H127" s="3" t="s">
        <v>18</v>
      </c>
      <c r="I127" s="6">
        <v>1449</v>
      </c>
      <c r="J127" s="6">
        <f>INDEX([1]Parámetros!$C$4:$C$10,MATCH(G127,[1]Parámetros!$A$4:$A$10,0))</f>
        <v>1500</v>
      </c>
      <c r="K127" s="7">
        <f t="shared" si="2"/>
        <v>0.96599999999999997</v>
      </c>
      <c r="L127" s="3" t="s">
        <v>19</v>
      </c>
      <c r="M127" s="3" t="str">
        <f>IF(L127="Sí","Atraso heredado",IF(K127&lt;[1]Parámetros!$E$13,"Adelantado",IF(K127&lt;=[1]Parámetros!$E$14,"En ventana ±10%","Fuera de ventana")))</f>
        <v>En ventana ±10%</v>
      </c>
      <c r="N127" s="3">
        <f t="shared" si="3"/>
        <v>2027</v>
      </c>
    </row>
    <row r="128" spans="1:14" x14ac:dyDescent="0.3">
      <c r="A128" s="3">
        <v>44</v>
      </c>
      <c r="B128" s="4" t="s">
        <v>36</v>
      </c>
      <c r="C128" s="3" t="s">
        <v>19</v>
      </c>
      <c r="D128" s="5">
        <v>46690</v>
      </c>
      <c r="E128" s="5">
        <v>46712</v>
      </c>
      <c r="F128" s="3">
        <v>23</v>
      </c>
      <c r="G128" s="4" t="s">
        <v>20</v>
      </c>
      <c r="H128" s="3" t="s">
        <v>21</v>
      </c>
      <c r="I128" s="6">
        <v>12278</v>
      </c>
      <c r="J128" s="6">
        <f>INDEX([1]Parámetros!$C$4:$C$10,MATCH(G128,[1]Parámetros!$A$4:$A$10,0))</f>
        <v>12000</v>
      </c>
      <c r="K128" s="7">
        <f t="shared" si="2"/>
        <v>1.0231666666666666</v>
      </c>
      <c r="L128" s="3" t="s">
        <v>19</v>
      </c>
      <c r="M128" s="3" t="str">
        <f>IF(L128="Sí","Atraso heredado",IF(K128&lt;[1]Parámetros!$E$13,"Adelantado",IF(K128&lt;=[1]Parámetros!$E$14,"En ventana ±10%","Fuera de ventana")))</f>
        <v>En ventana ±10%</v>
      </c>
      <c r="N128" s="3">
        <f t="shared" si="3"/>
        <v>2027</v>
      </c>
    </row>
    <row r="129" spans="1:14" x14ac:dyDescent="0.3">
      <c r="A129" s="3">
        <v>44</v>
      </c>
      <c r="B129" s="4" t="s">
        <v>36</v>
      </c>
      <c r="C129" s="3" t="s">
        <v>19</v>
      </c>
      <c r="D129" s="5">
        <v>46690</v>
      </c>
      <c r="E129" s="5">
        <v>46712</v>
      </c>
      <c r="F129" s="3">
        <v>23</v>
      </c>
      <c r="G129" s="4" t="s">
        <v>22</v>
      </c>
      <c r="H129" s="3" t="s">
        <v>23</v>
      </c>
      <c r="I129" s="6">
        <v>12278</v>
      </c>
      <c r="J129" s="6">
        <f>INDEX([1]Parámetros!$C$4:$C$10,MATCH(G129,[1]Parámetros!$A$4:$A$10,0))</f>
        <v>12000</v>
      </c>
      <c r="K129" s="7">
        <f t="shared" si="2"/>
        <v>1.0231666666666666</v>
      </c>
      <c r="L129" s="3" t="s">
        <v>19</v>
      </c>
      <c r="M129" s="3" t="str">
        <f>IF(L129="Sí","Atraso heredado",IF(K129&lt;[1]Parámetros!$E$13,"Adelantado",IF(K129&lt;=[1]Parámetros!$E$14,"En ventana ±10%","Fuera de ventana")))</f>
        <v>En ventana ±10%</v>
      </c>
      <c r="N129" s="3">
        <f t="shared" si="3"/>
        <v>2027</v>
      </c>
    </row>
    <row r="130" spans="1:14" x14ac:dyDescent="0.3">
      <c r="A130" s="3">
        <v>44</v>
      </c>
      <c r="B130" s="4" t="s">
        <v>36</v>
      </c>
      <c r="C130" s="3" t="s">
        <v>19</v>
      </c>
      <c r="D130" s="5">
        <v>46690</v>
      </c>
      <c r="E130" s="5">
        <v>46712</v>
      </c>
      <c r="F130" s="3">
        <v>23</v>
      </c>
      <c r="G130" s="4" t="s">
        <v>33</v>
      </c>
      <c r="H130" s="3" t="s">
        <v>34</v>
      </c>
      <c r="I130" s="6">
        <v>12278</v>
      </c>
      <c r="J130" s="6">
        <f>INDEX([1]Parámetros!$C$4:$C$10,MATCH(G130,[1]Parámetros!$A$4:$A$10,0))</f>
        <v>12000</v>
      </c>
      <c r="K130" s="7">
        <f t="shared" si="2"/>
        <v>1.0231666666666666</v>
      </c>
      <c r="L130" s="3" t="s">
        <v>19</v>
      </c>
      <c r="M130" s="3" t="str">
        <f>IF(L130="Sí","Atraso heredado",IF(K130&lt;[1]Parámetros!$E$13,"Adelantado",IF(K130&lt;=[1]Parámetros!$E$14,"En ventana ±10%","Fuera de ventana")))</f>
        <v>En ventana ±10%</v>
      </c>
      <c r="N130" s="3">
        <f t="shared" si="3"/>
        <v>2027</v>
      </c>
    </row>
    <row r="131" spans="1:14" x14ac:dyDescent="0.3">
      <c r="A131" s="3">
        <v>44</v>
      </c>
      <c r="B131" s="4" t="s">
        <v>36</v>
      </c>
      <c r="C131" s="3" t="s">
        <v>19</v>
      </c>
      <c r="D131" s="5">
        <v>46690</v>
      </c>
      <c r="E131" s="5">
        <v>46712</v>
      </c>
      <c r="F131" s="3">
        <v>23</v>
      </c>
      <c r="G131" s="4" t="s">
        <v>27</v>
      </c>
      <c r="H131" s="3" t="s">
        <v>28</v>
      </c>
      <c r="I131" s="6">
        <v>4622</v>
      </c>
      <c r="J131" s="6">
        <f>INDEX([1]Parámetros!$C$4:$C$10,MATCH(G131,[1]Parámetros!$A$4:$A$10,0))</f>
        <v>3000</v>
      </c>
      <c r="K131" s="7">
        <f t="shared" si="2"/>
        <v>1.5406666666666666</v>
      </c>
      <c r="L131" s="3" t="s">
        <v>19</v>
      </c>
      <c r="M131" s="3" t="str">
        <f>IF(L131="Sí","Atraso heredado",IF(K131&lt;[1]Parámetros!$E$13,"Adelantado",IF(K131&lt;=[1]Parámetros!$E$14,"En ventana ±10%","Fuera de ventana")))</f>
        <v>Fuera de ventana</v>
      </c>
      <c r="N131" s="3">
        <f t="shared" si="3"/>
        <v>2027</v>
      </c>
    </row>
    <row r="132" spans="1:14" x14ac:dyDescent="0.3">
      <c r="A132" s="3">
        <v>45</v>
      </c>
      <c r="B132" s="4" t="s">
        <v>46</v>
      </c>
      <c r="C132" s="3" t="s">
        <v>19</v>
      </c>
      <c r="D132" s="5">
        <v>46713</v>
      </c>
      <c r="E132" s="5">
        <v>46716</v>
      </c>
      <c r="F132" s="3">
        <v>4</v>
      </c>
      <c r="G132" s="4" t="s">
        <v>27</v>
      </c>
      <c r="H132" s="3" t="s">
        <v>28</v>
      </c>
      <c r="I132" s="6">
        <v>3283</v>
      </c>
      <c r="J132" s="6">
        <f>INDEX([1]Parámetros!$C$4:$C$10,MATCH(G132,[1]Parámetros!$A$4:$A$10,0))</f>
        <v>3000</v>
      </c>
      <c r="K132" s="7">
        <f t="shared" ref="K132:K195" si="4">I132/J132</f>
        <v>1.0943333333333334</v>
      </c>
      <c r="L132" s="3" t="s">
        <v>19</v>
      </c>
      <c r="M132" s="3" t="str">
        <f>IF(L132="Sí","Atraso heredado",IF(K132&lt;[1]Parámetros!$E$13,"Adelantado",IF(K132&lt;=[1]Parámetros!$E$14,"En ventana ±10%","Fuera de ventana")))</f>
        <v>En ventana ±10%</v>
      </c>
      <c r="N132" s="3">
        <f t="shared" ref="N132:N195" si="5">YEAR(D132)</f>
        <v>2027</v>
      </c>
    </row>
    <row r="133" spans="1:14" x14ac:dyDescent="0.3">
      <c r="A133" s="3">
        <v>46</v>
      </c>
      <c r="B133" s="4" t="s">
        <v>37</v>
      </c>
      <c r="C133" s="3" t="s">
        <v>16</v>
      </c>
      <c r="D133" s="5">
        <v>46717</v>
      </c>
      <c r="E133" s="5">
        <v>46718</v>
      </c>
      <c r="F133" s="3">
        <v>2</v>
      </c>
      <c r="G133" s="4" t="s">
        <v>17</v>
      </c>
      <c r="H133" s="3" t="s">
        <v>18</v>
      </c>
      <c r="I133" s="6">
        <v>1853</v>
      </c>
      <c r="J133" s="6">
        <f>INDEX([1]Parámetros!$C$4:$C$10,MATCH(G133,[1]Parámetros!$A$4:$A$10,0))</f>
        <v>1500</v>
      </c>
      <c r="K133" s="7">
        <f t="shared" si="4"/>
        <v>1.2353333333333334</v>
      </c>
      <c r="L133" s="3" t="s">
        <v>19</v>
      </c>
      <c r="M133" s="3" t="str">
        <f>IF(L133="Sí","Atraso heredado",IF(K133&lt;[1]Parámetros!$E$13,"Adelantado",IF(K133&lt;=[1]Parámetros!$E$14,"En ventana ±10%","Fuera de ventana")))</f>
        <v>Fuera de ventana</v>
      </c>
      <c r="N133" s="3">
        <f t="shared" si="5"/>
        <v>2027</v>
      </c>
    </row>
    <row r="134" spans="1:14" x14ac:dyDescent="0.3">
      <c r="A134" s="3">
        <v>47</v>
      </c>
      <c r="B134" s="4" t="s">
        <v>35</v>
      </c>
      <c r="C134" s="3" t="s">
        <v>16</v>
      </c>
      <c r="D134" s="5">
        <v>46719</v>
      </c>
      <c r="E134" s="5">
        <v>46720</v>
      </c>
      <c r="F134" s="3">
        <v>2</v>
      </c>
      <c r="G134" s="4" t="s">
        <v>17</v>
      </c>
      <c r="H134" s="3" t="s">
        <v>18</v>
      </c>
      <c r="I134" s="6">
        <v>1711</v>
      </c>
      <c r="J134" s="6">
        <f>INDEX([1]Parámetros!$C$4:$C$10,MATCH(G134,[1]Parámetros!$A$4:$A$10,0))</f>
        <v>1500</v>
      </c>
      <c r="K134" s="7">
        <f t="shared" si="4"/>
        <v>1.1406666666666667</v>
      </c>
      <c r="L134" s="3" t="s">
        <v>19</v>
      </c>
      <c r="M134" s="3" t="str">
        <f>IF(L134="Sí","Atraso heredado",IF(K134&lt;[1]Parámetros!$E$13,"Adelantado",IF(K134&lt;=[1]Parámetros!$E$14,"En ventana ±10%","Fuera de ventana")))</f>
        <v>Fuera de ventana</v>
      </c>
      <c r="N134" s="3">
        <f t="shared" si="5"/>
        <v>2027</v>
      </c>
    </row>
    <row r="135" spans="1:14" x14ac:dyDescent="0.3">
      <c r="A135" s="3">
        <v>48</v>
      </c>
      <c r="B135" s="4" t="s">
        <v>38</v>
      </c>
      <c r="C135" s="3" t="s">
        <v>16</v>
      </c>
      <c r="D135" s="5">
        <v>46721</v>
      </c>
      <c r="E135" s="5">
        <v>46722</v>
      </c>
      <c r="F135" s="3">
        <v>2</v>
      </c>
      <c r="G135" s="4" t="s">
        <v>17</v>
      </c>
      <c r="H135" s="3" t="s">
        <v>18</v>
      </c>
      <c r="I135" s="6">
        <v>1473</v>
      </c>
      <c r="J135" s="6">
        <f>INDEX([1]Parámetros!$C$4:$C$10,MATCH(G135,[1]Parámetros!$A$4:$A$10,0))</f>
        <v>1500</v>
      </c>
      <c r="K135" s="7">
        <f t="shared" si="4"/>
        <v>0.98199999999999998</v>
      </c>
      <c r="L135" s="3" t="s">
        <v>19</v>
      </c>
      <c r="M135" s="3" t="str">
        <f>IF(L135="Sí","Atraso heredado",IF(K135&lt;[1]Parámetros!$E$13,"Adelantado",IF(K135&lt;=[1]Parámetros!$E$14,"En ventana ±10%","Fuera de ventana")))</f>
        <v>En ventana ±10%</v>
      </c>
      <c r="N135" s="3">
        <f t="shared" si="5"/>
        <v>2027</v>
      </c>
    </row>
    <row r="136" spans="1:14" x14ac:dyDescent="0.3">
      <c r="A136" s="3">
        <v>49</v>
      </c>
      <c r="B136" s="4" t="s">
        <v>39</v>
      </c>
      <c r="C136" s="3" t="s">
        <v>19</v>
      </c>
      <c r="D136" s="5">
        <v>46723</v>
      </c>
      <c r="E136" s="5">
        <v>46733</v>
      </c>
      <c r="F136" s="3">
        <v>11</v>
      </c>
      <c r="G136" s="4" t="s">
        <v>31</v>
      </c>
      <c r="H136" s="3" t="s">
        <v>32</v>
      </c>
      <c r="I136" s="6">
        <v>8359</v>
      </c>
      <c r="J136" s="6">
        <f>INDEX([1]Parámetros!$C$4:$C$10,MATCH(G136,[1]Parámetros!$A$4:$A$10,0))</f>
        <v>6000</v>
      </c>
      <c r="K136" s="7">
        <f t="shared" si="4"/>
        <v>1.3931666666666667</v>
      </c>
      <c r="L136" s="3" t="s">
        <v>19</v>
      </c>
      <c r="M136" s="3" t="str">
        <f>IF(L136="Sí","Atraso heredado",IF(K136&lt;[1]Parámetros!$E$13,"Adelantado",IF(K136&lt;=[1]Parámetros!$E$14,"En ventana ±10%","Fuera de ventana")))</f>
        <v>Fuera de ventana</v>
      </c>
      <c r="N136" s="3">
        <f t="shared" si="5"/>
        <v>2027</v>
      </c>
    </row>
    <row r="137" spans="1:14" x14ac:dyDescent="0.3">
      <c r="A137" s="3">
        <v>49</v>
      </c>
      <c r="B137" s="4" t="s">
        <v>39</v>
      </c>
      <c r="C137" s="3" t="s">
        <v>19</v>
      </c>
      <c r="D137" s="5">
        <v>46723</v>
      </c>
      <c r="E137" s="5">
        <v>46733</v>
      </c>
      <c r="F137" s="3">
        <v>11</v>
      </c>
      <c r="G137" s="4" t="s">
        <v>33</v>
      </c>
      <c r="H137" s="3" t="s">
        <v>34</v>
      </c>
      <c r="I137" s="6">
        <v>13056</v>
      </c>
      <c r="J137" s="6">
        <f>INDEX([1]Parámetros!$C$4:$C$10,MATCH(G137,[1]Parámetros!$A$4:$A$10,0))</f>
        <v>12000</v>
      </c>
      <c r="K137" s="7">
        <f t="shared" si="4"/>
        <v>1.0880000000000001</v>
      </c>
      <c r="L137" s="3" t="s">
        <v>19</v>
      </c>
      <c r="M137" s="3" t="str">
        <f>IF(L137="Sí","Atraso heredado",IF(K137&lt;[1]Parámetros!$E$13,"Adelantado",IF(K137&lt;=[1]Parámetros!$E$14,"En ventana ±10%","Fuera de ventana")))</f>
        <v>En ventana ±10%</v>
      </c>
      <c r="N137" s="3">
        <f t="shared" si="5"/>
        <v>2027</v>
      </c>
    </row>
    <row r="138" spans="1:14" x14ac:dyDescent="0.3">
      <c r="A138" s="3">
        <v>49</v>
      </c>
      <c r="B138" s="4" t="s">
        <v>39</v>
      </c>
      <c r="C138" s="3" t="s">
        <v>19</v>
      </c>
      <c r="D138" s="5">
        <v>46723</v>
      </c>
      <c r="E138" s="5">
        <v>46733</v>
      </c>
      <c r="F138" s="3">
        <v>11</v>
      </c>
      <c r="G138" s="4" t="s">
        <v>27</v>
      </c>
      <c r="H138" s="3" t="s">
        <v>28</v>
      </c>
      <c r="I138" s="6">
        <v>5206</v>
      </c>
      <c r="J138" s="6">
        <f>INDEX([1]Parámetros!$C$4:$C$10,MATCH(G138,[1]Parámetros!$A$4:$A$10,0))</f>
        <v>3000</v>
      </c>
      <c r="K138" s="7">
        <f t="shared" si="4"/>
        <v>1.7353333333333334</v>
      </c>
      <c r="L138" s="3" t="s">
        <v>19</v>
      </c>
      <c r="M138" s="3" t="str">
        <f>IF(L138="Sí","Atraso heredado",IF(K138&lt;[1]Parámetros!$E$13,"Adelantado",IF(K138&lt;=[1]Parámetros!$E$14,"En ventana ±10%","Fuera de ventana")))</f>
        <v>Fuera de ventana</v>
      </c>
      <c r="N138" s="3">
        <f t="shared" si="5"/>
        <v>2027</v>
      </c>
    </row>
    <row r="139" spans="1:14" x14ac:dyDescent="0.3">
      <c r="A139" s="3">
        <v>50</v>
      </c>
      <c r="B139" s="4" t="s">
        <v>26</v>
      </c>
      <c r="C139" s="3" t="s">
        <v>19</v>
      </c>
      <c r="D139" s="5">
        <v>46734</v>
      </c>
      <c r="E139" s="5">
        <v>46737</v>
      </c>
      <c r="F139" s="3">
        <v>4</v>
      </c>
      <c r="G139" s="4" t="s">
        <v>27</v>
      </c>
      <c r="H139" s="3" t="s">
        <v>28</v>
      </c>
      <c r="I139" s="6">
        <v>3154</v>
      </c>
      <c r="J139" s="6">
        <f>INDEX([1]Parámetros!$C$4:$C$10,MATCH(G139,[1]Parámetros!$A$4:$A$10,0))</f>
        <v>3000</v>
      </c>
      <c r="K139" s="7">
        <f t="shared" si="4"/>
        <v>1.0513333333333332</v>
      </c>
      <c r="L139" s="3" t="s">
        <v>19</v>
      </c>
      <c r="M139" s="3" t="str">
        <f>IF(L139="Sí","Atraso heredado",IF(K139&lt;[1]Parámetros!$E$13,"Adelantado",IF(K139&lt;=[1]Parámetros!$E$14,"En ventana ±10%","Fuera de ventana")))</f>
        <v>En ventana ±10%</v>
      </c>
      <c r="N139" s="3">
        <f t="shared" si="5"/>
        <v>2027</v>
      </c>
    </row>
    <row r="140" spans="1:14" x14ac:dyDescent="0.3">
      <c r="A140" s="3">
        <v>51</v>
      </c>
      <c r="B140" s="4" t="s">
        <v>40</v>
      </c>
      <c r="C140" s="3" t="s">
        <v>19</v>
      </c>
      <c r="D140" s="5">
        <v>46738</v>
      </c>
      <c r="E140" s="5">
        <v>46744</v>
      </c>
      <c r="F140" s="3">
        <v>7</v>
      </c>
      <c r="G140" s="4" t="s">
        <v>31</v>
      </c>
      <c r="H140" s="3" t="s">
        <v>32</v>
      </c>
      <c r="I140" s="6">
        <v>8186</v>
      </c>
      <c r="J140" s="6">
        <f>INDEX([1]Parámetros!$C$4:$C$10,MATCH(G140,[1]Parámetros!$A$4:$A$10,0))</f>
        <v>6000</v>
      </c>
      <c r="K140" s="7">
        <f t="shared" si="4"/>
        <v>1.3643333333333334</v>
      </c>
      <c r="L140" s="3" t="s">
        <v>19</v>
      </c>
      <c r="M140" s="3" t="str">
        <f>IF(L140="Sí","Atraso heredado",IF(K140&lt;[1]Parámetros!$E$13,"Adelantado",IF(K140&lt;=[1]Parámetros!$E$14,"En ventana ±10%","Fuera de ventana")))</f>
        <v>Fuera de ventana</v>
      </c>
      <c r="N140" s="3">
        <f t="shared" si="5"/>
        <v>2027</v>
      </c>
    </row>
    <row r="141" spans="1:14" x14ac:dyDescent="0.3">
      <c r="A141" s="3">
        <v>51</v>
      </c>
      <c r="B141" s="4" t="s">
        <v>40</v>
      </c>
      <c r="C141" s="3" t="s">
        <v>19</v>
      </c>
      <c r="D141" s="5">
        <v>46738</v>
      </c>
      <c r="E141" s="5">
        <v>46744</v>
      </c>
      <c r="F141" s="3">
        <v>7</v>
      </c>
      <c r="G141" s="4" t="s">
        <v>27</v>
      </c>
      <c r="H141" s="3" t="s">
        <v>28</v>
      </c>
      <c r="I141" s="6">
        <v>4946</v>
      </c>
      <c r="J141" s="6">
        <f>INDEX([1]Parámetros!$C$4:$C$10,MATCH(G141,[1]Parámetros!$A$4:$A$10,0))</f>
        <v>3000</v>
      </c>
      <c r="K141" s="7">
        <f t="shared" si="4"/>
        <v>1.6486666666666667</v>
      </c>
      <c r="L141" s="3" t="s">
        <v>19</v>
      </c>
      <c r="M141" s="3" t="str">
        <f>IF(L141="Sí","Atraso heredado",IF(K141&lt;[1]Parámetros!$E$13,"Adelantado",IF(K141&lt;=[1]Parámetros!$E$14,"En ventana ±10%","Fuera de ventana")))</f>
        <v>Fuera de ventana</v>
      </c>
      <c r="N141" s="3">
        <f t="shared" si="5"/>
        <v>2027</v>
      </c>
    </row>
    <row r="142" spans="1:14" x14ac:dyDescent="0.3">
      <c r="A142" s="3">
        <v>52</v>
      </c>
      <c r="B142" s="4" t="s">
        <v>29</v>
      </c>
      <c r="C142" s="3" t="s">
        <v>16</v>
      </c>
      <c r="D142" s="5">
        <v>46745</v>
      </c>
      <c r="E142" s="5">
        <v>46746</v>
      </c>
      <c r="F142" s="3">
        <v>2</v>
      </c>
      <c r="G142" s="4" t="s">
        <v>17</v>
      </c>
      <c r="H142" s="3" t="s">
        <v>18</v>
      </c>
      <c r="I142" s="6">
        <v>1497</v>
      </c>
      <c r="J142" s="6">
        <f>INDEX([1]Parámetros!$C$4:$C$10,MATCH(G142,[1]Parámetros!$A$4:$A$10,0))</f>
        <v>1500</v>
      </c>
      <c r="K142" s="7">
        <f t="shared" si="4"/>
        <v>0.998</v>
      </c>
      <c r="L142" s="3" t="s">
        <v>19</v>
      </c>
      <c r="M142" s="3" t="str">
        <f>IF(L142="Sí","Atraso heredado",IF(K142&lt;[1]Parámetros!$E$13,"Adelantado",IF(K142&lt;=[1]Parámetros!$E$14,"En ventana ±10%","Fuera de ventana")))</f>
        <v>En ventana ±10%</v>
      </c>
      <c r="N142" s="3">
        <f t="shared" si="5"/>
        <v>2027</v>
      </c>
    </row>
    <row r="143" spans="1:14" x14ac:dyDescent="0.3">
      <c r="A143" s="3">
        <v>53</v>
      </c>
      <c r="B143" s="4" t="s">
        <v>41</v>
      </c>
      <c r="C143" s="3" t="s">
        <v>19</v>
      </c>
      <c r="D143" s="5">
        <v>46747</v>
      </c>
      <c r="E143" s="5">
        <v>46753</v>
      </c>
      <c r="F143" s="3">
        <v>7</v>
      </c>
      <c r="G143" s="4" t="s">
        <v>31</v>
      </c>
      <c r="H143" s="3" t="s">
        <v>32</v>
      </c>
      <c r="I143" s="6">
        <v>7344</v>
      </c>
      <c r="J143" s="6">
        <f>INDEX([1]Parámetros!$C$4:$C$10,MATCH(G143,[1]Parámetros!$A$4:$A$10,0))</f>
        <v>6000</v>
      </c>
      <c r="K143" s="7">
        <f t="shared" si="4"/>
        <v>1.224</v>
      </c>
      <c r="L143" s="3" t="s">
        <v>19</v>
      </c>
      <c r="M143" s="3" t="str">
        <f>IF(L143="Sí","Atraso heredado",IF(K143&lt;[1]Parámetros!$E$13,"Adelantado",IF(K143&lt;=[1]Parámetros!$E$14,"En ventana ±10%","Fuera de ventana")))</f>
        <v>Fuera de ventana</v>
      </c>
      <c r="N143" s="3">
        <f t="shared" si="5"/>
        <v>2027</v>
      </c>
    </row>
    <row r="144" spans="1:14" x14ac:dyDescent="0.3">
      <c r="A144" s="3">
        <v>53</v>
      </c>
      <c r="B144" s="4" t="s">
        <v>41</v>
      </c>
      <c r="C144" s="3" t="s">
        <v>19</v>
      </c>
      <c r="D144" s="5">
        <v>46747</v>
      </c>
      <c r="E144" s="5">
        <v>46753</v>
      </c>
      <c r="F144" s="3">
        <v>7</v>
      </c>
      <c r="G144" s="4" t="s">
        <v>27</v>
      </c>
      <c r="H144" s="3" t="s">
        <v>28</v>
      </c>
      <c r="I144" s="6">
        <v>4514</v>
      </c>
      <c r="J144" s="6">
        <f>INDEX([1]Parámetros!$C$4:$C$10,MATCH(G144,[1]Parámetros!$A$4:$A$10,0))</f>
        <v>3000</v>
      </c>
      <c r="K144" s="7">
        <f t="shared" si="4"/>
        <v>1.5046666666666666</v>
      </c>
      <c r="L144" s="3" t="s">
        <v>19</v>
      </c>
      <c r="M144" s="3" t="str">
        <f>IF(L144="Sí","Atraso heredado",IF(K144&lt;[1]Parámetros!$E$13,"Adelantado",IF(K144&lt;=[1]Parámetros!$E$14,"En ventana ±10%","Fuera de ventana")))</f>
        <v>Fuera de ventana</v>
      </c>
      <c r="N144" s="3">
        <f t="shared" si="5"/>
        <v>2027</v>
      </c>
    </row>
    <row r="145" spans="1:14" x14ac:dyDescent="0.3">
      <c r="A145" s="3">
        <v>54</v>
      </c>
      <c r="B145" s="4" t="s">
        <v>42</v>
      </c>
      <c r="C145" s="3" t="s">
        <v>19</v>
      </c>
      <c r="D145" s="5">
        <v>46754</v>
      </c>
      <c r="E145" s="5">
        <v>46760</v>
      </c>
      <c r="F145" s="3">
        <v>7</v>
      </c>
      <c r="G145" s="4" t="s">
        <v>31</v>
      </c>
      <c r="H145" s="3" t="s">
        <v>32</v>
      </c>
      <c r="I145" s="6">
        <v>6955</v>
      </c>
      <c r="J145" s="6">
        <f>INDEX([1]Parámetros!$C$4:$C$10,MATCH(G145,[1]Parámetros!$A$4:$A$10,0))</f>
        <v>6000</v>
      </c>
      <c r="K145" s="7">
        <f t="shared" si="4"/>
        <v>1.1591666666666667</v>
      </c>
      <c r="L145" s="3" t="s">
        <v>19</v>
      </c>
      <c r="M145" s="3" t="str">
        <f>IF(L145="Sí","Atraso heredado",IF(K145&lt;[1]Parámetros!$E$13,"Adelantado",IF(K145&lt;=[1]Parámetros!$E$14,"En ventana ±10%","Fuera de ventana")))</f>
        <v>Fuera de ventana</v>
      </c>
      <c r="N145" s="3">
        <f t="shared" si="5"/>
        <v>2028</v>
      </c>
    </row>
    <row r="146" spans="1:14" x14ac:dyDescent="0.3">
      <c r="A146" s="3">
        <v>54</v>
      </c>
      <c r="B146" s="4" t="s">
        <v>42</v>
      </c>
      <c r="C146" s="3" t="s">
        <v>19</v>
      </c>
      <c r="D146" s="5">
        <v>46754</v>
      </c>
      <c r="E146" s="5">
        <v>46760</v>
      </c>
      <c r="F146" s="3">
        <v>7</v>
      </c>
      <c r="G146" s="4" t="s">
        <v>27</v>
      </c>
      <c r="H146" s="3" t="s">
        <v>28</v>
      </c>
      <c r="I146" s="6">
        <v>4082</v>
      </c>
      <c r="J146" s="6">
        <f>INDEX([1]Parámetros!$C$4:$C$10,MATCH(G146,[1]Parámetros!$A$4:$A$10,0))</f>
        <v>3000</v>
      </c>
      <c r="K146" s="7">
        <f t="shared" si="4"/>
        <v>1.3606666666666667</v>
      </c>
      <c r="L146" s="3" t="s">
        <v>19</v>
      </c>
      <c r="M146" s="3" t="str">
        <f>IF(L146="Sí","Atraso heredado",IF(K146&lt;[1]Parámetros!$E$13,"Adelantado",IF(K146&lt;=[1]Parámetros!$E$14,"En ventana ±10%","Fuera de ventana")))</f>
        <v>Fuera de ventana</v>
      </c>
      <c r="N146" s="3">
        <f t="shared" si="5"/>
        <v>2028</v>
      </c>
    </row>
    <row r="147" spans="1:14" x14ac:dyDescent="0.3">
      <c r="A147" s="3">
        <v>55</v>
      </c>
      <c r="B147" s="4" t="s">
        <v>43</v>
      </c>
      <c r="C147" s="3" t="s">
        <v>19</v>
      </c>
      <c r="D147" s="5">
        <v>46761</v>
      </c>
      <c r="E147" s="5">
        <v>46767</v>
      </c>
      <c r="F147" s="3">
        <v>7</v>
      </c>
      <c r="G147" s="4" t="s">
        <v>31</v>
      </c>
      <c r="H147" s="3" t="s">
        <v>32</v>
      </c>
      <c r="I147" s="6">
        <v>6221</v>
      </c>
      <c r="J147" s="6">
        <f>INDEX([1]Parámetros!$C$4:$C$10,MATCH(G147,[1]Parámetros!$A$4:$A$10,0))</f>
        <v>6000</v>
      </c>
      <c r="K147" s="7">
        <f t="shared" si="4"/>
        <v>1.0368333333333333</v>
      </c>
      <c r="L147" s="3" t="s">
        <v>19</v>
      </c>
      <c r="M147" s="3" t="str">
        <f>IF(L147="Sí","Atraso heredado",IF(K147&lt;[1]Parámetros!$E$13,"Adelantado",IF(K147&lt;=[1]Parámetros!$E$14,"En ventana ±10%","Fuera de ventana")))</f>
        <v>En ventana ±10%</v>
      </c>
      <c r="N147" s="3">
        <f t="shared" si="5"/>
        <v>2028</v>
      </c>
    </row>
    <row r="148" spans="1:14" x14ac:dyDescent="0.3">
      <c r="A148" s="3">
        <v>55</v>
      </c>
      <c r="B148" s="4" t="s">
        <v>43</v>
      </c>
      <c r="C148" s="3" t="s">
        <v>19</v>
      </c>
      <c r="D148" s="5">
        <v>46761</v>
      </c>
      <c r="E148" s="5">
        <v>46767</v>
      </c>
      <c r="F148" s="3">
        <v>7</v>
      </c>
      <c r="G148" s="4" t="s">
        <v>27</v>
      </c>
      <c r="H148" s="3" t="s">
        <v>28</v>
      </c>
      <c r="I148" s="6">
        <v>3650</v>
      </c>
      <c r="J148" s="6">
        <f>INDEX([1]Parámetros!$C$4:$C$10,MATCH(G148,[1]Parámetros!$A$4:$A$10,0))</f>
        <v>3000</v>
      </c>
      <c r="K148" s="7">
        <f t="shared" si="4"/>
        <v>1.2166666666666666</v>
      </c>
      <c r="L148" s="3" t="s">
        <v>19</v>
      </c>
      <c r="M148" s="3" t="str">
        <f>IF(L148="Sí","Atraso heredado",IF(K148&lt;[1]Parámetros!$E$13,"Adelantado",IF(K148&lt;=[1]Parámetros!$E$14,"En ventana ±10%","Fuera de ventana")))</f>
        <v>Fuera de ventana</v>
      </c>
      <c r="N148" s="3">
        <f t="shared" si="5"/>
        <v>2028</v>
      </c>
    </row>
    <row r="149" spans="1:14" x14ac:dyDescent="0.3">
      <c r="A149" s="3">
        <v>56</v>
      </c>
      <c r="B149" s="4" t="s">
        <v>39</v>
      </c>
      <c r="C149" s="3" t="s">
        <v>19</v>
      </c>
      <c r="D149" s="5">
        <v>46768</v>
      </c>
      <c r="E149" s="5">
        <v>46790</v>
      </c>
      <c r="F149" s="3">
        <v>23</v>
      </c>
      <c r="G149" s="4" t="s">
        <v>20</v>
      </c>
      <c r="H149" s="3" t="s">
        <v>21</v>
      </c>
      <c r="I149" s="6">
        <v>9094</v>
      </c>
      <c r="J149" s="6">
        <f>INDEX([1]Parámetros!$C$4:$C$10,MATCH(G149,[1]Parámetros!$A$4:$A$10,0))</f>
        <v>12000</v>
      </c>
      <c r="K149" s="7">
        <f t="shared" si="4"/>
        <v>0.75783333333333336</v>
      </c>
      <c r="L149" s="3" t="s">
        <v>19</v>
      </c>
      <c r="M149" s="3" t="str">
        <f>IF(L149="Sí","Atraso heredado",IF(K149&lt;[1]Parámetros!$E$13,"Adelantado",IF(K149&lt;=[1]Parámetros!$E$14,"En ventana ±10%","Fuera de ventana")))</f>
        <v>Adelantado</v>
      </c>
      <c r="N149" s="3">
        <f t="shared" si="5"/>
        <v>2028</v>
      </c>
    </row>
    <row r="150" spans="1:14" x14ac:dyDescent="0.3">
      <c r="A150" s="3">
        <v>56</v>
      </c>
      <c r="B150" s="4" t="s">
        <v>39</v>
      </c>
      <c r="C150" s="3" t="s">
        <v>19</v>
      </c>
      <c r="D150" s="5">
        <v>46768</v>
      </c>
      <c r="E150" s="5">
        <v>46790</v>
      </c>
      <c r="F150" s="3">
        <v>23</v>
      </c>
      <c r="G150" s="4" t="s">
        <v>22</v>
      </c>
      <c r="H150" s="3" t="s">
        <v>23</v>
      </c>
      <c r="I150" s="6">
        <v>9094</v>
      </c>
      <c r="J150" s="6">
        <f>INDEX([1]Parámetros!$C$4:$C$10,MATCH(G150,[1]Parámetros!$A$4:$A$10,0))</f>
        <v>12000</v>
      </c>
      <c r="K150" s="7">
        <f t="shared" si="4"/>
        <v>0.75783333333333336</v>
      </c>
      <c r="L150" s="3" t="s">
        <v>19</v>
      </c>
      <c r="M150" s="3" t="str">
        <f>IF(L150="Sí","Atraso heredado",IF(K150&lt;[1]Parámetros!$E$13,"Adelantado",IF(K150&lt;=[1]Parámetros!$E$14,"En ventana ±10%","Fuera de ventana")))</f>
        <v>Adelantado</v>
      </c>
      <c r="N150" s="3">
        <f t="shared" si="5"/>
        <v>2028</v>
      </c>
    </row>
    <row r="151" spans="1:14" x14ac:dyDescent="0.3">
      <c r="A151" s="3">
        <v>57</v>
      </c>
      <c r="B151" s="4" t="s">
        <v>30</v>
      </c>
      <c r="C151" s="3" t="s">
        <v>16</v>
      </c>
      <c r="D151" s="5">
        <v>46791</v>
      </c>
      <c r="E151" s="5">
        <v>46800</v>
      </c>
      <c r="F151" s="3">
        <v>10</v>
      </c>
      <c r="G151" s="4" t="s">
        <v>17</v>
      </c>
      <c r="H151" s="3" t="s">
        <v>18</v>
      </c>
      <c r="I151" s="6">
        <v>2542</v>
      </c>
      <c r="J151" s="6">
        <f>INDEX([1]Parámetros!$C$4:$C$10,MATCH(G151,[1]Parámetros!$A$4:$A$10,0))</f>
        <v>1500</v>
      </c>
      <c r="K151" s="7">
        <f t="shared" si="4"/>
        <v>1.6946666666666668</v>
      </c>
      <c r="L151" s="3" t="s">
        <v>19</v>
      </c>
      <c r="M151" s="3" t="str">
        <f>IF(L151="Sí","Atraso heredado",IF(K151&lt;[1]Parámetros!$E$13,"Adelantado",IF(K151&lt;=[1]Parámetros!$E$14,"En ventana ±10%","Fuera de ventana")))</f>
        <v>Fuera de ventana</v>
      </c>
      <c r="N151" s="3">
        <f t="shared" si="5"/>
        <v>2028</v>
      </c>
    </row>
    <row r="152" spans="1:14" x14ac:dyDescent="0.3">
      <c r="A152" s="3">
        <v>57</v>
      </c>
      <c r="B152" s="4" t="s">
        <v>30</v>
      </c>
      <c r="C152" s="3" t="s">
        <v>16</v>
      </c>
      <c r="D152" s="5">
        <v>46791</v>
      </c>
      <c r="E152" s="5">
        <v>46800</v>
      </c>
      <c r="F152" s="3">
        <v>10</v>
      </c>
      <c r="G152" s="4" t="s">
        <v>27</v>
      </c>
      <c r="H152" s="3" t="s">
        <v>28</v>
      </c>
      <c r="I152" s="6">
        <v>4134</v>
      </c>
      <c r="J152" s="6">
        <f>INDEX([1]Parámetros!$C$4:$C$10,MATCH(G152,[1]Parámetros!$A$4:$A$10,0))</f>
        <v>3000</v>
      </c>
      <c r="K152" s="7">
        <f t="shared" si="4"/>
        <v>1.3779999999999999</v>
      </c>
      <c r="L152" s="3" t="s">
        <v>19</v>
      </c>
      <c r="M152" s="3" t="str">
        <f>IF(L152="Sí","Atraso heredado",IF(K152&lt;[1]Parámetros!$E$13,"Adelantado",IF(K152&lt;=[1]Parámetros!$E$14,"En ventana ±10%","Fuera de ventana")))</f>
        <v>Fuera de ventana</v>
      </c>
      <c r="N152" s="3">
        <f t="shared" si="5"/>
        <v>2028</v>
      </c>
    </row>
    <row r="153" spans="1:14" x14ac:dyDescent="0.3">
      <c r="A153" s="3">
        <v>57</v>
      </c>
      <c r="B153" s="4" t="s">
        <v>30</v>
      </c>
      <c r="C153" s="3" t="s">
        <v>16</v>
      </c>
      <c r="D153" s="5">
        <v>46791</v>
      </c>
      <c r="E153" s="5">
        <v>46800</v>
      </c>
      <c r="F153" s="3">
        <v>10</v>
      </c>
      <c r="G153" s="4" t="s">
        <v>33</v>
      </c>
      <c r="H153" s="3" t="s">
        <v>34</v>
      </c>
      <c r="I153" s="6">
        <v>12284</v>
      </c>
      <c r="J153" s="6">
        <f>INDEX([1]Parámetros!$C$4:$C$10,MATCH(G153,[1]Parámetros!$A$4:$A$10,0))</f>
        <v>12000</v>
      </c>
      <c r="K153" s="7">
        <f t="shared" si="4"/>
        <v>1.0236666666666667</v>
      </c>
      <c r="L153" s="3" t="s">
        <v>19</v>
      </c>
      <c r="M153" s="3" t="str">
        <f>IF(L153="Sí","Atraso heredado",IF(K153&lt;[1]Parámetros!$E$13,"Adelantado",IF(K153&lt;=[1]Parámetros!$E$14,"En ventana ±10%","Fuera de ventana")))</f>
        <v>En ventana ±10%</v>
      </c>
      <c r="N153" s="3">
        <f t="shared" si="5"/>
        <v>2028</v>
      </c>
    </row>
    <row r="154" spans="1:14" x14ac:dyDescent="0.3">
      <c r="A154" s="3">
        <v>58</v>
      </c>
      <c r="B154" s="4" t="s">
        <v>15</v>
      </c>
      <c r="C154" s="3" t="s">
        <v>16</v>
      </c>
      <c r="D154" s="5">
        <v>46801</v>
      </c>
      <c r="E154" s="5">
        <v>46823</v>
      </c>
      <c r="F154" s="3">
        <v>23</v>
      </c>
      <c r="G154" s="4" t="s">
        <v>17</v>
      </c>
      <c r="H154" s="3" t="s">
        <v>18</v>
      </c>
      <c r="I154" s="6">
        <v>2637</v>
      </c>
      <c r="J154" s="6">
        <f>INDEX([1]Parámetros!$C$4:$C$10,MATCH(G154,[1]Parámetros!$A$4:$A$10,0))</f>
        <v>1500</v>
      </c>
      <c r="K154" s="7">
        <f t="shared" si="4"/>
        <v>1.758</v>
      </c>
      <c r="L154" s="3" t="s">
        <v>19</v>
      </c>
      <c r="M154" s="3" t="str">
        <f>IF(L154="Sí","Atraso heredado",IF(K154&lt;[1]Parámetros!$E$13,"Adelantado",IF(K154&lt;=[1]Parámetros!$E$14,"En ventana ±10%","Fuera de ventana")))</f>
        <v>Fuera de ventana</v>
      </c>
      <c r="N154" s="3">
        <f t="shared" si="5"/>
        <v>2028</v>
      </c>
    </row>
    <row r="155" spans="1:14" x14ac:dyDescent="0.3">
      <c r="A155" s="3">
        <v>58</v>
      </c>
      <c r="B155" s="4" t="s">
        <v>15</v>
      </c>
      <c r="C155" s="3" t="s">
        <v>16</v>
      </c>
      <c r="D155" s="5">
        <v>46801</v>
      </c>
      <c r="E155" s="5">
        <v>46823</v>
      </c>
      <c r="F155" s="3">
        <v>23</v>
      </c>
      <c r="G155" s="4" t="s">
        <v>20</v>
      </c>
      <c r="H155" s="3" t="s">
        <v>21</v>
      </c>
      <c r="I155" s="6">
        <v>13258</v>
      </c>
      <c r="J155" s="6">
        <f>INDEX([1]Parámetros!$C$4:$C$10,MATCH(G155,[1]Parámetros!$A$4:$A$10,0))</f>
        <v>12000</v>
      </c>
      <c r="K155" s="7">
        <f t="shared" si="4"/>
        <v>1.1048333333333333</v>
      </c>
      <c r="L155" s="3" t="s">
        <v>19</v>
      </c>
      <c r="M155" s="3" t="str">
        <f>IF(L155="Sí","Atraso heredado",IF(K155&lt;[1]Parámetros!$E$13,"Adelantado",IF(K155&lt;=[1]Parámetros!$E$14,"En ventana ±10%","Fuera de ventana")))</f>
        <v>Fuera de ventana</v>
      </c>
      <c r="N155" s="3">
        <f t="shared" si="5"/>
        <v>2028</v>
      </c>
    </row>
    <row r="156" spans="1:14" x14ac:dyDescent="0.3">
      <c r="A156" s="3">
        <v>58</v>
      </c>
      <c r="B156" s="4" t="s">
        <v>15</v>
      </c>
      <c r="C156" s="3" t="s">
        <v>16</v>
      </c>
      <c r="D156" s="5">
        <v>46801</v>
      </c>
      <c r="E156" s="5">
        <v>46823</v>
      </c>
      <c r="F156" s="3">
        <v>23</v>
      </c>
      <c r="G156" s="4" t="s">
        <v>22</v>
      </c>
      <c r="H156" s="3" t="s">
        <v>23</v>
      </c>
      <c r="I156" s="6">
        <v>13258</v>
      </c>
      <c r="J156" s="6">
        <f>INDEX([1]Parámetros!$C$4:$C$10,MATCH(G156,[1]Parámetros!$A$4:$A$10,0))</f>
        <v>12000</v>
      </c>
      <c r="K156" s="7">
        <f t="shared" si="4"/>
        <v>1.1048333333333333</v>
      </c>
      <c r="L156" s="3" t="s">
        <v>19</v>
      </c>
      <c r="M156" s="3" t="str">
        <f>IF(L156="Sí","Atraso heredado",IF(K156&lt;[1]Parámetros!$E$13,"Adelantado",IF(K156&lt;=[1]Parámetros!$E$14,"En ventana ±10%","Fuera de ventana")))</f>
        <v>Fuera de ventana</v>
      </c>
      <c r="N156" s="3">
        <f t="shared" si="5"/>
        <v>2028</v>
      </c>
    </row>
    <row r="157" spans="1:14" x14ac:dyDescent="0.3">
      <c r="A157" s="3">
        <v>58</v>
      </c>
      <c r="B157" s="4" t="s">
        <v>15</v>
      </c>
      <c r="C157" s="3" t="s">
        <v>16</v>
      </c>
      <c r="D157" s="5">
        <v>46801</v>
      </c>
      <c r="E157" s="5">
        <v>46823</v>
      </c>
      <c r="F157" s="3">
        <v>23</v>
      </c>
      <c r="G157" s="4" t="s">
        <v>27</v>
      </c>
      <c r="H157" s="3" t="s">
        <v>28</v>
      </c>
      <c r="I157" s="6">
        <v>4087</v>
      </c>
      <c r="J157" s="6">
        <f>INDEX([1]Parámetros!$C$4:$C$10,MATCH(G157,[1]Parámetros!$A$4:$A$10,0))</f>
        <v>3000</v>
      </c>
      <c r="K157" s="7">
        <f t="shared" si="4"/>
        <v>1.3623333333333334</v>
      </c>
      <c r="L157" s="3" t="s">
        <v>19</v>
      </c>
      <c r="M157" s="3" t="str">
        <f>IF(L157="Sí","Atraso heredado",IF(K157&lt;[1]Parámetros!$E$13,"Adelantado",IF(K157&lt;=[1]Parámetros!$E$14,"En ventana ±10%","Fuera de ventana")))</f>
        <v>Fuera de ventana</v>
      </c>
      <c r="N157" s="3">
        <f t="shared" si="5"/>
        <v>2028</v>
      </c>
    </row>
    <row r="158" spans="1:14" x14ac:dyDescent="0.3">
      <c r="A158" s="3">
        <v>59</v>
      </c>
      <c r="B158" s="4" t="s">
        <v>37</v>
      </c>
      <c r="C158" s="3" t="s">
        <v>16</v>
      </c>
      <c r="D158" s="5">
        <v>46824</v>
      </c>
      <c r="E158" s="5">
        <v>46846</v>
      </c>
      <c r="F158" s="3">
        <v>23</v>
      </c>
      <c r="G158" s="4" t="s">
        <v>17</v>
      </c>
      <c r="H158" s="3" t="s">
        <v>18</v>
      </c>
      <c r="I158" s="6">
        <v>2495</v>
      </c>
      <c r="J158" s="6">
        <f>INDEX([1]Parámetros!$C$4:$C$10,MATCH(G158,[1]Parámetros!$A$4:$A$10,0))</f>
        <v>1500</v>
      </c>
      <c r="K158" s="7">
        <f t="shared" si="4"/>
        <v>1.6633333333333333</v>
      </c>
      <c r="L158" s="3" t="s">
        <v>19</v>
      </c>
      <c r="M158" s="3" t="str">
        <f>IF(L158="Sí","Atraso heredado",IF(K158&lt;[1]Parámetros!$E$13,"Adelantado",IF(K158&lt;=[1]Parámetros!$E$14,"En ventana ±10%","Fuera de ventana")))</f>
        <v>Fuera de ventana</v>
      </c>
      <c r="N158" s="3">
        <f t="shared" si="5"/>
        <v>2028</v>
      </c>
    </row>
    <row r="159" spans="1:14" x14ac:dyDescent="0.3">
      <c r="A159" s="3">
        <v>59</v>
      </c>
      <c r="B159" s="4" t="s">
        <v>37</v>
      </c>
      <c r="C159" s="3" t="s">
        <v>16</v>
      </c>
      <c r="D159" s="5">
        <v>46824</v>
      </c>
      <c r="E159" s="5">
        <v>46846</v>
      </c>
      <c r="F159" s="3">
        <v>23</v>
      </c>
      <c r="G159" s="4" t="s">
        <v>20</v>
      </c>
      <c r="H159" s="3" t="s">
        <v>21</v>
      </c>
      <c r="I159" s="6">
        <v>12593</v>
      </c>
      <c r="J159" s="6">
        <f>INDEX([1]Parámetros!$C$4:$C$10,MATCH(G159,[1]Parámetros!$A$4:$A$10,0))</f>
        <v>12000</v>
      </c>
      <c r="K159" s="7">
        <f t="shared" si="4"/>
        <v>1.0494166666666667</v>
      </c>
      <c r="L159" s="3" t="s">
        <v>19</v>
      </c>
      <c r="M159" s="3" t="str">
        <f>IF(L159="Sí","Atraso heredado",IF(K159&lt;[1]Parámetros!$E$13,"Adelantado",IF(K159&lt;=[1]Parámetros!$E$14,"En ventana ±10%","Fuera de ventana")))</f>
        <v>En ventana ±10%</v>
      </c>
      <c r="N159" s="3">
        <f t="shared" si="5"/>
        <v>2028</v>
      </c>
    </row>
    <row r="160" spans="1:14" x14ac:dyDescent="0.3">
      <c r="A160" s="3">
        <v>59</v>
      </c>
      <c r="B160" s="4" t="s">
        <v>37</v>
      </c>
      <c r="C160" s="3" t="s">
        <v>16</v>
      </c>
      <c r="D160" s="5">
        <v>46824</v>
      </c>
      <c r="E160" s="5">
        <v>46846</v>
      </c>
      <c r="F160" s="3">
        <v>23</v>
      </c>
      <c r="G160" s="4" t="s">
        <v>22</v>
      </c>
      <c r="H160" s="3" t="s">
        <v>23</v>
      </c>
      <c r="I160" s="6">
        <v>12593</v>
      </c>
      <c r="J160" s="6">
        <f>INDEX([1]Parámetros!$C$4:$C$10,MATCH(G160,[1]Parámetros!$A$4:$A$10,0))</f>
        <v>12000</v>
      </c>
      <c r="K160" s="7">
        <f t="shared" si="4"/>
        <v>1.0494166666666667</v>
      </c>
      <c r="L160" s="3" t="s">
        <v>19</v>
      </c>
      <c r="M160" s="3" t="str">
        <f>IF(L160="Sí","Atraso heredado",IF(K160&lt;[1]Parámetros!$E$13,"Adelantado",IF(K160&lt;=[1]Parámetros!$E$14,"En ventana ±10%","Fuera de ventana")))</f>
        <v>En ventana ±10%</v>
      </c>
      <c r="N160" s="3">
        <f t="shared" si="5"/>
        <v>2028</v>
      </c>
    </row>
    <row r="161" spans="1:14" x14ac:dyDescent="0.3">
      <c r="A161" s="3">
        <v>59</v>
      </c>
      <c r="B161" s="4" t="s">
        <v>37</v>
      </c>
      <c r="C161" s="3" t="s">
        <v>16</v>
      </c>
      <c r="D161" s="5">
        <v>46824</v>
      </c>
      <c r="E161" s="5">
        <v>46846</v>
      </c>
      <c r="F161" s="3">
        <v>23</v>
      </c>
      <c r="G161" s="4" t="s">
        <v>33</v>
      </c>
      <c r="H161" s="3" t="s">
        <v>34</v>
      </c>
      <c r="I161" s="6">
        <v>12593</v>
      </c>
      <c r="J161" s="6">
        <f>INDEX([1]Parámetros!$C$4:$C$10,MATCH(G161,[1]Parámetros!$A$4:$A$10,0))</f>
        <v>12000</v>
      </c>
      <c r="K161" s="7">
        <f t="shared" si="4"/>
        <v>1.0494166666666667</v>
      </c>
      <c r="L161" s="3" t="s">
        <v>19</v>
      </c>
      <c r="M161" s="3" t="str">
        <f>IF(L161="Sí","Atraso heredado",IF(K161&lt;[1]Parámetros!$E$13,"Adelantado",IF(K161&lt;=[1]Parámetros!$E$14,"En ventana ±10%","Fuera de ventana")))</f>
        <v>En ventana ±10%</v>
      </c>
      <c r="N161" s="3">
        <f t="shared" si="5"/>
        <v>2028</v>
      </c>
    </row>
    <row r="162" spans="1:14" x14ac:dyDescent="0.3">
      <c r="A162" s="3">
        <v>59</v>
      </c>
      <c r="B162" s="4" t="s">
        <v>37</v>
      </c>
      <c r="C162" s="3" t="s">
        <v>16</v>
      </c>
      <c r="D162" s="5">
        <v>46824</v>
      </c>
      <c r="E162" s="5">
        <v>46846</v>
      </c>
      <c r="F162" s="3">
        <v>23</v>
      </c>
      <c r="G162" s="4" t="s">
        <v>27</v>
      </c>
      <c r="H162" s="3" t="s">
        <v>28</v>
      </c>
      <c r="I162" s="6">
        <v>4348</v>
      </c>
      <c r="J162" s="6">
        <f>INDEX([1]Parámetros!$C$4:$C$10,MATCH(G162,[1]Parámetros!$A$4:$A$10,0))</f>
        <v>3000</v>
      </c>
      <c r="K162" s="7">
        <f t="shared" si="4"/>
        <v>1.4493333333333334</v>
      </c>
      <c r="L162" s="3" t="s">
        <v>19</v>
      </c>
      <c r="M162" s="3" t="str">
        <f>IF(L162="Sí","Atraso heredado",IF(K162&lt;[1]Parámetros!$E$13,"Adelantado",IF(K162&lt;=[1]Parámetros!$E$14,"En ventana ±10%","Fuera de ventana")))</f>
        <v>Fuera de ventana</v>
      </c>
      <c r="N162" s="3">
        <f t="shared" si="5"/>
        <v>2028</v>
      </c>
    </row>
    <row r="163" spans="1:14" x14ac:dyDescent="0.3">
      <c r="A163" s="3">
        <v>60</v>
      </c>
      <c r="B163" s="4" t="s">
        <v>44</v>
      </c>
      <c r="C163" s="3" t="s">
        <v>19</v>
      </c>
      <c r="D163" s="5">
        <v>46847</v>
      </c>
      <c r="E163" s="5">
        <v>46853</v>
      </c>
      <c r="F163" s="3">
        <v>7</v>
      </c>
      <c r="G163" s="4" t="s">
        <v>31</v>
      </c>
      <c r="H163" s="3" t="s">
        <v>32</v>
      </c>
      <c r="I163" s="6">
        <v>7301</v>
      </c>
      <c r="J163" s="6">
        <f>INDEX([1]Parámetros!$C$4:$C$10,MATCH(G163,[1]Parámetros!$A$4:$A$10,0))</f>
        <v>6000</v>
      </c>
      <c r="K163" s="7">
        <f t="shared" si="4"/>
        <v>1.2168333333333334</v>
      </c>
      <c r="L163" s="3" t="s">
        <v>19</v>
      </c>
      <c r="M163" s="3" t="str">
        <f>IF(L163="Sí","Atraso heredado",IF(K163&lt;[1]Parámetros!$E$13,"Adelantado",IF(K163&lt;=[1]Parámetros!$E$14,"En ventana ±10%","Fuera de ventana")))</f>
        <v>Fuera de ventana</v>
      </c>
      <c r="N163" s="3">
        <f t="shared" si="5"/>
        <v>2028</v>
      </c>
    </row>
    <row r="164" spans="1:14" x14ac:dyDescent="0.3">
      <c r="A164" s="3">
        <v>60</v>
      </c>
      <c r="B164" s="4" t="s">
        <v>44</v>
      </c>
      <c r="C164" s="3" t="s">
        <v>19</v>
      </c>
      <c r="D164" s="5">
        <v>46847</v>
      </c>
      <c r="E164" s="5">
        <v>46853</v>
      </c>
      <c r="F164" s="3">
        <v>7</v>
      </c>
      <c r="G164" s="4" t="s">
        <v>27</v>
      </c>
      <c r="H164" s="3" t="s">
        <v>28</v>
      </c>
      <c r="I164" s="6">
        <v>4666</v>
      </c>
      <c r="J164" s="6">
        <f>INDEX([1]Parámetros!$C$4:$C$10,MATCH(G164,[1]Parámetros!$A$4:$A$10,0))</f>
        <v>3000</v>
      </c>
      <c r="K164" s="7">
        <f t="shared" si="4"/>
        <v>1.5553333333333332</v>
      </c>
      <c r="L164" s="3" t="s">
        <v>19</v>
      </c>
      <c r="M164" s="3" t="str">
        <f>IF(L164="Sí","Atraso heredado",IF(K164&lt;[1]Parámetros!$E$13,"Adelantado",IF(K164&lt;=[1]Parámetros!$E$14,"En ventana ±10%","Fuera de ventana")))</f>
        <v>Fuera de ventana</v>
      </c>
      <c r="N164" s="3">
        <f t="shared" si="5"/>
        <v>2028</v>
      </c>
    </row>
    <row r="165" spans="1:14" x14ac:dyDescent="0.3">
      <c r="A165" s="3">
        <v>61</v>
      </c>
      <c r="B165" s="4" t="s">
        <v>36</v>
      </c>
      <c r="C165" s="3" t="s">
        <v>19</v>
      </c>
      <c r="D165" s="5">
        <v>46854</v>
      </c>
      <c r="E165" s="5">
        <v>46857</v>
      </c>
      <c r="F165" s="3">
        <v>4</v>
      </c>
      <c r="G165" s="4" t="s">
        <v>27</v>
      </c>
      <c r="H165" s="3" t="s">
        <v>28</v>
      </c>
      <c r="I165" s="6">
        <v>3046</v>
      </c>
      <c r="J165" s="6">
        <f>INDEX([1]Parámetros!$C$4:$C$10,MATCH(G165,[1]Parámetros!$A$4:$A$10,0))</f>
        <v>3000</v>
      </c>
      <c r="K165" s="7">
        <f t="shared" si="4"/>
        <v>1.0153333333333334</v>
      </c>
      <c r="L165" s="3" t="s">
        <v>19</v>
      </c>
      <c r="M165" s="3" t="str">
        <f>IF(L165="Sí","Atraso heredado",IF(K165&lt;[1]Parámetros!$E$13,"Adelantado",IF(K165&lt;=[1]Parámetros!$E$14,"En ventana ±10%","Fuera de ventana")))</f>
        <v>En ventana ±10%</v>
      </c>
      <c r="N165" s="3">
        <f t="shared" si="5"/>
        <v>2028</v>
      </c>
    </row>
    <row r="166" spans="1:14" x14ac:dyDescent="0.3">
      <c r="A166" s="3">
        <v>62</v>
      </c>
      <c r="B166" s="4" t="s">
        <v>38</v>
      </c>
      <c r="C166" s="3" t="s">
        <v>16</v>
      </c>
      <c r="D166" s="5">
        <v>46858</v>
      </c>
      <c r="E166" s="5">
        <v>46880</v>
      </c>
      <c r="F166" s="3">
        <v>23</v>
      </c>
      <c r="G166" s="4" t="s">
        <v>17</v>
      </c>
      <c r="H166" s="3" t="s">
        <v>18</v>
      </c>
      <c r="I166" s="6">
        <v>3208</v>
      </c>
      <c r="J166" s="6">
        <f>INDEX([1]Parámetros!$C$4:$C$10,MATCH(G166,[1]Parámetros!$A$4:$A$10,0))</f>
        <v>1500</v>
      </c>
      <c r="K166" s="7">
        <f t="shared" si="4"/>
        <v>2.1386666666666665</v>
      </c>
      <c r="L166" s="3" t="s">
        <v>19</v>
      </c>
      <c r="M166" s="3" t="str">
        <f>IF(L166="Sí","Atraso heredado",IF(K166&lt;[1]Parámetros!$E$13,"Adelantado",IF(K166&lt;=[1]Parámetros!$E$14,"En ventana ±10%","Fuera de ventana")))</f>
        <v>Fuera de ventana</v>
      </c>
      <c r="N166" s="3">
        <f t="shared" si="5"/>
        <v>2028</v>
      </c>
    </row>
    <row r="167" spans="1:14" x14ac:dyDescent="0.3">
      <c r="A167" s="3">
        <v>62</v>
      </c>
      <c r="B167" s="4" t="s">
        <v>38</v>
      </c>
      <c r="C167" s="3" t="s">
        <v>16</v>
      </c>
      <c r="D167" s="5">
        <v>46858</v>
      </c>
      <c r="E167" s="5">
        <v>46880</v>
      </c>
      <c r="F167" s="3">
        <v>23</v>
      </c>
      <c r="G167" s="4" t="s">
        <v>20</v>
      </c>
      <c r="H167" s="3" t="s">
        <v>21</v>
      </c>
      <c r="I167" s="6">
        <v>12569</v>
      </c>
      <c r="J167" s="6">
        <f>INDEX([1]Parámetros!$C$4:$C$10,MATCH(G167,[1]Parámetros!$A$4:$A$10,0))</f>
        <v>12000</v>
      </c>
      <c r="K167" s="7">
        <f t="shared" si="4"/>
        <v>1.0474166666666667</v>
      </c>
      <c r="L167" s="3" t="s">
        <v>19</v>
      </c>
      <c r="M167" s="3" t="str">
        <f>IF(L167="Sí","Atraso heredado",IF(K167&lt;[1]Parámetros!$E$13,"Adelantado",IF(K167&lt;=[1]Parámetros!$E$14,"En ventana ±10%","Fuera de ventana")))</f>
        <v>En ventana ±10%</v>
      </c>
      <c r="N167" s="3">
        <f t="shared" si="5"/>
        <v>2028</v>
      </c>
    </row>
    <row r="168" spans="1:14" x14ac:dyDescent="0.3">
      <c r="A168" s="3">
        <v>62</v>
      </c>
      <c r="B168" s="4" t="s">
        <v>38</v>
      </c>
      <c r="C168" s="3" t="s">
        <v>16</v>
      </c>
      <c r="D168" s="5">
        <v>46858</v>
      </c>
      <c r="E168" s="5">
        <v>46880</v>
      </c>
      <c r="F168" s="3">
        <v>23</v>
      </c>
      <c r="G168" s="4" t="s">
        <v>22</v>
      </c>
      <c r="H168" s="3" t="s">
        <v>23</v>
      </c>
      <c r="I168" s="6">
        <v>12569</v>
      </c>
      <c r="J168" s="6">
        <f>INDEX([1]Parámetros!$C$4:$C$10,MATCH(G168,[1]Parámetros!$A$4:$A$10,0))</f>
        <v>12000</v>
      </c>
      <c r="K168" s="7">
        <f t="shared" si="4"/>
        <v>1.0474166666666667</v>
      </c>
      <c r="L168" s="3" t="s">
        <v>19</v>
      </c>
      <c r="M168" s="3" t="str">
        <f>IF(L168="Sí","Atraso heredado",IF(K168&lt;[1]Parámetros!$E$13,"Adelantado",IF(K168&lt;=[1]Parámetros!$E$14,"En ventana ±10%","Fuera de ventana")))</f>
        <v>En ventana ±10%</v>
      </c>
      <c r="N168" s="3">
        <f t="shared" si="5"/>
        <v>2028</v>
      </c>
    </row>
    <row r="169" spans="1:14" x14ac:dyDescent="0.3">
      <c r="A169" s="3">
        <v>62</v>
      </c>
      <c r="B169" s="4" t="s">
        <v>38</v>
      </c>
      <c r="C169" s="3" t="s">
        <v>16</v>
      </c>
      <c r="D169" s="5">
        <v>46858</v>
      </c>
      <c r="E169" s="5">
        <v>46880</v>
      </c>
      <c r="F169" s="3">
        <v>23</v>
      </c>
      <c r="G169" s="4" t="s">
        <v>27</v>
      </c>
      <c r="H169" s="3" t="s">
        <v>28</v>
      </c>
      <c r="I169" s="6">
        <v>4681</v>
      </c>
      <c r="J169" s="6">
        <f>INDEX([1]Parámetros!$C$4:$C$10,MATCH(G169,[1]Parámetros!$A$4:$A$10,0))</f>
        <v>3000</v>
      </c>
      <c r="K169" s="7">
        <f t="shared" si="4"/>
        <v>1.5603333333333333</v>
      </c>
      <c r="L169" s="3" t="s">
        <v>19</v>
      </c>
      <c r="M169" s="3" t="str">
        <f>IF(L169="Sí","Atraso heredado",IF(K169&lt;[1]Parámetros!$E$13,"Adelantado",IF(K169&lt;=[1]Parámetros!$E$14,"En ventana ±10%","Fuera de ventana")))</f>
        <v>Fuera de ventana</v>
      </c>
      <c r="N169" s="3">
        <f t="shared" si="5"/>
        <v>2028</v>
      </c>
    </row>
    <row r="170" spans="1:14" x14ac:dyDescent="0.3">
      <c r="A170" s="3">
        <v>63</v>
      </c>
      <c r="B170" s="4" t="s">
        <v>15</v>
      </c>
      <c r="C170" s="3" t="s">
        <v>16</v>
      </c>
      <c r="D170" s="5">
        <v>46881</v>
      </c>
      <c r="E170" s="5">
        <v>46882</v>
      </c>
      <c r="F170" s="3">
        <v>2</v>
      </c>
      <c r="G170" s="4" t="s">
        <v>17</v>
      </c>
      <c r="H170" s="3" t="s">
        <v>18</v>
      </c>
      <c r="I170" s="6">
        <v>1354</v>
      </c>
      <c r="J170" s="6">
        <f>INDEX([1]Parámetros!$C$4:$C$10,MATCH(G170,[1]Parámetros!$A$4:$A$10,0))</f>
        <v>1500</v>
      </c>
      <c r="K170" s="7">
        <f t="shared" si="4"/>
        <v>0.90266666666666662</v>
      </c>
      <c r="L170" s="3" t="s">
        <v>19</v>
      </c>
      <c r="M170" s="3" t="str">
        <f>IF(L170="Sí","Atraso heredado",IF(K170&lt;[1]Parámetros!$E$13,"Adelantado",IF(K170&lt;=[1]Parámetros!$E$14,"En ventana ±10%","Fuera de ventana")))</f>
        <v>En ventana ±10%</v>
      </c>
      <c r="N170" s="3">
        <f t="shared" si="5"/>
        <v>2028</v>
      </c>
    </row>
    <row r="171" spans="1:14" x14ac:dyDescent="0.3">
      <c r="A171" s="3">
        <v>64</v>
      </c>
      <c r="B171" s="4" t="s">
        <v>29</v>
      </c>
      <c r="C171" s="3" t="s">
        <v>16</v>
      </c>
      <c r="D171" s="5">
        <v>46883</v>
      </c>
      <c r="E171" s="5">
        <v>46887</v>
      </c>
      <c r="F171" s="3">
        <v>5</v>
      </c>
      <c r="G171" s="4" t="s">
        <v>17</v>
      </c>
      <c r="H171" s="3" t="s">
        <v>18</v>
      </c>
      <c r="I171" s="6">
        <v>3231</v>
      </c>
      <c r="J171" s="6">
        <f>INDEX([1]Parámetros!$C$4:$C$10,MATCH(G171,[1]Parámetros!$A$4:$A$10,0))</f>
        <v>1500</v>
      </c>
      <c r="K171" s="7">
        <f t="shared" si="4"/>
        <v>2.1539999999999999</v>
      </c>
      <c r="L171" s="3" t="s">
        <v>19</v>
      </c>
      <c r="M171" s="3" t="str">
        <f>IF(L171="Sí","Atraso heredado",IF(K171&lt;[1]Parámetros!$E$13,"Adelantado",IF(K171&lt;=[1]Parámetros!$E$14,"En ventana ±10%","Fuera de ventana")))</f>
        <v>Fuera de ventana</v>
      </c>
      <c r="N171" s="3">
        <f t="shared" si="5"/>
        <v>2028</v>
      </c>
    </row>
    <row r="172" spans="1:14" x14ac:dyDescent="0.3">
      <c r="A172" s="3">
        <v>64</v>
      </c>
      <c r="B172" s="4" t="s">
        <v>29</v>
      </c>
      <c r="C172" s="3" t="s">
        <v>16</v>
      </c>
      <c r="D172" s="5">
        <v>46883</v>
      </c>
      <c r="E172" s="5">
        <v>46887</v>
      </c>
      <c r="F172" s="3">
        <v>5</v>
      </c>
      <c r="G172" s="4" t="s">
        <v>27</v>
      </c>
      <c r="H172" s="3" t="s">
        <v>28</v>
      </c>
      <c r="I172" s="6">
        <v>4728</v>
      </c>
      <c r="J172" s="6">
        <f>INDEX([1]Parámetros!$C$4:$C$10,MATCH(G172,[1]Parámetros!$A$4:$A$10,0))</f>
        <v>3000</v>
      </c>
      <c r="K172" s="7">
        <f t="shared" si="4"/>
        <v>1.5760000000000001</v>
      </c>
      <c r="L172" s="3" t="s">
        <v>19</v>
      </c>
      <c r="M172" s="3" t="str">
        <f>IF(L172="Sí","Atraso heredado",IF(K172&lt;[1]Parámetros!$E$13,"Adelantado",IF(K172&lt;=[1]Parámetros!$E$14,"En ventana ±10%","Fuera de ventana")))</f>
        <v>Fuera de ventana</v>
      </c>
      <c r="N172" s="3">
        <f t="shared" si="5"/>
        <v>2028</v>
      </c>
    </row>
    <row r="173" spans="1:14" x14ac:dyDescent="0.3">
      <c r="A173" s="3">
        <v>65</v>
      </c>
      <c r="B173" s="4" t="s">
        <v>35</v>
      </c>
      <c r="C173" s="3" t="s">
        <v>16</v>
      </c>
      <c r="D173" s="5">
        <v>46888</v>
      </c>
      <c r="E173" s="5">
        <v>46910</v>
      </c>
      <c r="F173" s="3">
        <v>23</v>
      </c>
      <c r="G173" s="4" t="s">
        <v>17</v>
      </c>
      <c r="H173" s="3" t="s">
        <v>18</v>
      </c>
      <c r="I173" s="6">
        <v>3968</v>
      </c>
      <c r="J173" s="6">
        <f>INDEX([1]Parámetros!$C$4:$C$10,MATCH(G173,[1]Parámetros!$A$4:$A$10,0))</f>
        <v>1500</v>
      </c>
      <c r="K173" s="7">
        <f t="shared" si="4"/>
        <v>2.6453333333333333</v>
      </c>
      <c r="L173" s="3" t="s">
        <v>19</v>
      </c>
      <c r="M173" s="3" t="str">
        <f>IF(L173="Sí","Atraso heredado",IF(K173&lt;[1]Parámetros!$E$13,"Adelantado",IF(K173&lt;=[1]Parámetros!$E$14,"En ventana ±10%","Fuera de ventana")))</f>
        <v>Fuera de ventana</v>
      </c>
      <c r="N173" s="3">
        <f t="shared" si="5"/>
        <v>2028</v>
      </c>
    </row>
    <row r="174" spans="1:14" x14ac:dyDescent="0.3">
      <c r="A174" s="3">
        <v>65</v>
      </c>
      <c r="B174" s="4" t="s">
        <v>35</v>
      </c>
      <c r="C174" s="3" t="s">
        <v>16</v>
      </c>
      <c r="D174" s="5">
        <v>46888</v>
      </c>
      <c r="E174" s="5">
        <v>46910</v>
      </c>
      <c r="F174" s="3">
        <v>23</v>
      </c>
      <c r="G174" s="4" t="s">
        <v>20</v>
      </c>
      <c r="H174" s="3" t="s">
        <v>21</v>
      </c>
      <c r="I174" s="6">
        <v>11785</v>
      </c>
      <c r="J174" s="6">
        <f>INDEX([1]Parámetros!$C$4:$C$10,MATCH(G174,[1]Parámetros!$A$4:$A$10,0))</f>
        <v>12000</v>
      </c>
      <c r="K174" s="7">
        <f t="shared" si="4"/>
        <v>0.98208333333333331</v>
      </c>
      <c r="L174" s="3" t="s">
        <v>19</v>
      </c>
      <c r="M174" s="3" t="str">
        <f>IF(L174="Sí","Atraso heredado",IF(K174&lt;[1]Parámetros!$E$13,"Adelantado",IF(K174&lt;=[1]Parámetros!$E$14,"En ventana ±10%","Fuera de ventana")))</f>
        <v>En ventana ±10%</v>
      </c>
      <c r="N174" s="3">
        <f t="shared" si="5"/>
        <v>2028</v>
      </c>
    </row>
    <row r="175" spans="1:14" x14ac:dyDescent="0.3">
      <c r="A175" s="3">
        <v>65</v>
      </c>
      <c r="B175" s="4" t="s">
        <v>35</v>
      </c>
      <c r="C175" s="3" t="s">
        <v>16</v>
      </c>
      <c r="D175" s="5">
        <v>46888</v>
      </c>
      <c r="E175" s="5">
        <v>46910</v>
      </c>
      <c r="F175" s="3">
        <v>23</v>
      </c>
      <c r="G175" s="4" t="s">
        <v>22</v>
      </c>
      <c r="H175" s="3" t="s">
        <v>23</v>
      </c>
      <c r="I175" s="6">
        <v>11785</v>
      </c>
      <c r="J175" s="6">
        <f>INDEX([1]Parámetros!$C$4:$C$10,MATCH(G175,[1]Parámetros!$A$4:$A$10,0))</f>
        <v>12000</v>
      </c>
      <c r="K175" s="7">
        <f t="shared" si="4"/>
        <v>0.98208333333333331</v>
      </c>
      <c r="L175" s="3" t="s">
        <v>19</v>
      </c>
      <c r="M175" s="3" t="str">
        <f>IF(L175="Sí","Atraso heredado",IF(K175&lt;[1]Parámetros!$E$13,"Adelantado",IF(K175&lt;=[1]Parámetros!$E$14,"En ventana ±10%","Fuera de ventana")))</f>
        <v>En ventana ±10%</v>
      </c>
      <c r="N175" s="3">
        <f t="shared" si="5"/>
        <v>2028</v>
      </c>
    </row>
    <row r="176" spans="1:14" x14ac:dyDescent="0.3">
      <c r="A176" s="3">
        <v>65</v>
      </c>
      <c r="B176" s="4" t="s">
        <v>35</v>
      </c>
      <c r="C176" s="3" t="s">
        <v>16</v>
      </c>
      <c r="D176" s="5">
        <v>46888</v>
      </c>
      <c r="E176" s="5">
        <v>46910</v>
      </c>
      <c r="F176" s="3">
        <v>23</v>
      </c>
      <c r="G176" s="4" t="s">
        <v>33</v>
      </c>
      <c r="H176" s="3" t="s">
        <v>34</v>
      </c>
      <c r="I176" s="6">
        <v>11785</v>
      </c>
      <c r="J176" s="6">
        <f>INDEX([1]Parámetros!$C$4:$C$10,MATCH(G176,[1]Parámetros!$A$4:$A$10,0))</f>
        <v>12000</v>
      </c>
      <c r="K176" s="7">
        <f t="shared" si="4"/>
        <v>0.98208333333333331</v>
      </c>
      <c r="L176" s="3" t="s">
        <v>19</v>
      </c>
      <c r="M176" s="3" t="str">
        <f>IF(L176="Sí","Atraso heredado",IF(K176&lt;[1]Parámetros!$E$13,"Adelantado",IF(K176&lt;=[1]Parámetros!$E$14,"En ventana ±10%","Fuera de ventana")))</f>
        <v>En ventana ±10%</v>
      </c>
      <c r="N176" s="3">
        <f t="shared" si="5"/>
        <v>2028</v>
      </c>
    </row>
    <row r="177" spans="1:14" x14ac:dyDescent="0.3">
      <c r="A177" s="3">
        <v>65</v>
      </c>
      <c r="B177" s="4" t="s">
        <v>35</v>
      </c>
      <c r="C177" s="3" t="s">
        <v>16</v>
      </c>
      <c r="D177" s="5">
        <v>46888</v>
      </c>
      <c r="E177" s="5">
        <v>46910</v>
      </c>
      <c r="F177" s="3">
        <v>23</v>
      </c>
      <c r="G177" s="4" t="s">
        <v>27</v>
      </c>
      <c r="H177" s="3" t="s">
        <v>28</v>
      </c>
      <c r="I177" s="6">
        <v>5679</v>
      </c>
      <c r="J177" s="6">
        <f>INDEX([1]Parámetros!$C$4:$C$10,MATCH(G177,[1]Parámetros!$A$4:$A$10,0))</f>
        <v>3000</v>
      </c>
      <c r="K177" s="7">
        <f t="shared" si="4"/>
        <v>1.893</v>
      </c>
      <c r="L177" s="3" t="s">
        <v>19</v>
      </c>
      <c r="M177" s="3" t="str">
        <f>IF(L177="Sí","Atraso heredado",IF(K177&lt;[1]Parámetros!$E$13,"Adelantado",IF(K177&lt;=[1]Parámetros!$E$14,"En ventana ±10%","Fuera de ventana")))</f>
        <v>Fuera de ventana</v>
      </c>
      <c r="N177" s="3">
        <f t="shared" si="5"/>
        <v>2028</v>
      </c>
    </row>
    <row r="178" spans="1:14" x14ac:dyDescent="0.3">
      <c r="A178" s="3">
        <v>66</v>
      </c>
      <c r="B178" s="4" t="s">
        <v>42</v>
      </c>
      <c r="C178" s="3" t="s">
        <v>19</v>
      </c>
      <c r="D178" s="5">
        <v>46911</v>
      </c>
      <c r="E178" s="5">
        <v>46914</v>
      </c>
      <c r="F178" s="3">
        <v>4</v>
      </c>
      <c r="G178" s="4" t="s">
        <v>27</v>
      </c>
      <c r="H178" s="3" t="s">
        <v>28</v>
      </c>
      <c r="I178" s="6">
        <v>3240</v>
      </c>
      <c r="J178" s="6">
        <f>INDEX([1]Parámetros!$C$4:$C$10,MATCH(G178,[1]Parámetros!$A$4:$A$10,0))</f>
        <v>3000</v>
      </c>
      <c r="K178" s="7">
        <f t="shared" si="4"/>
        <v>1.08</v>
      </c>
      <c r="L178" s="3" t="s">
        <v>19</v>
      </c>
      <c r="M178" s="3" t="str">
        <f>IF(L178="Sí","Atraso heredado",IF(K178&lt;[1]Parámetros!$E$13,"Adelantado",IF(K178&lt;=[1]Parámetros!$E$14,"En ventana ±10%","Fuera de ventana")))</f>
        <v>En ventana ±10%</v>
      </c>
      <c r="N178" s="3">
        <f t="shared" si="5"/>
        <v>2028</v>
      </c>
    </row>
    <row r="179" spans="1:14" x14ac:dyDescent="0.3">
      <c r="A179" s="3">
        <v>67</v>
      </c>
      <c r="B179" s="4" t="s">
        <v>37</v>
      </c>
      <c r="C179" s="3" t="s">
        <v>16</v>
      </c>
      <c r="D179" s="5">
        <v>46915</v>
      </c>
      <c r="E179" s="5">
        <v>46916</v>
      </c>
      <c r="F179" s="3">
        <v>2</v>
      </c>
      <c r="G179" s="4" t="s">
        <v>17</v>
      </c>
      <c r="H179" s="3" t="s">
        <v>18</v>
      </c>
      <c r="I179" s="6">
        <v>1616</v>
      </c>
      <c r="J179" s="6">
        <f>INDEX([1]Parámetros!$C$4:$C$10,MATCH(G179,[1]Parámetros!$A$4:$A$10,0))</f>
        <v>1500</v>
      </c>
      <c r="K179" s="7">
        <f t="shared" si="4"/>
        <v>1.0773333333333333</v>
      </c>
      <c r="L179" s="3" t="s">
        <v>19</v>
      </c>
      <c r="M179" s="3" t="str">
        <f>IF(L179="Sí","Atraso heredado",IF(K179&lt;[1]Parámetros!$E$13,"Adelantado",IF(K179&lt;=[1]Parámetros!$E$14,"En ventana ±10%","Fuera de ventana")))</f>
        <v>En ventana ±10%</v>
      </c>
      <c r="N179" s="3">
        <f t="shared" si="5"/>
        <v>2028</v>
      </c>
    </row>
    <row r="180" spans="1:14" x14ac:dyDescent="0.3">
      <c r="A180" s="3">
        <v>68</v>
      </c>
      <c r="B180" s="4" t="s">
        <v>43</v>
      </c>
      <c r="C180" s="3" t="s">
        <v>19</v>
      </c>
      <c r="D180" s="5">
        <v>46917</v>
      </c>
      <c r="E180" s="5">
        <v>46920</v>
      </c>
      <c r="F180" s="3">
        <v>4</v>
      </c>
      <c r="G180" s="4" t="s">
        <v>27</v>
      </c>
      <c r="H180" s="3" t="s">
        <v>28</v>
      </c>
      <c r="I180" s="6">
        <v>3218</v>
      </c>
      <c r="J180" s="6">
        <f>INDEX([1]Parámetros!$C$4:$C$10,MATCH(G180,[1]Parámetros!$A$4:$A$10,0))</f>
        <v>3000</v>
      </c>
      <c r="K180" s="7">
        <f t="shared" si="4"/>
        <v>1.0726666666666667</v>
      </c>
      <c r="L180" s="3" t="s">
        <v>19</v>
      </c>
      <c r="M180" s="3" t="str">
        <f>IF(L180="Sí","Atraso heredado",IF(K180&lt;[1]Parámetros!$E$13,"Adelantado",IF(K180&lt;=[1]Parámetros!$E$14,"En ventana ±10%","Fuera de ventana")))</f>
        <v>En ventana ±10%</v>
      </c>
      <c r="N180" s="3">
        <f t="shared" si="5"/>
        <v>2028</v>
      </c>
    </row>
    <row r="181" spans="1:14" x14ac:dyDescent="0.3">
      <c r="A181" s="3">
        <v>69</v>
      </c>
      <c r="B181" s="4" t="s">
        <v>45</v>
      </c>
      <c r="C181" s="3" t="s">
        <v>19</v>
      </c>
      <c r="D181" s="5">
        <v>46921</v>
      </c>
      <c r="E181" s="5">
        <v>46927</v>
      </c>
      <c r="F181" s="3">
        <v>7</v>
      </c>
      <c r="G181" s="4" t="s">
        <v>31</v>
      </c>
      <c r="H181" s="3" t="s">
        <v>32</v>
      </c>
      <c r="I181" s="6">
        <v>8273</v>
      </c>
      <c r="J181" s="6">
        <f>INDEX([1]Parámetros!$C$4:$C$10,MATCH(G181,[1]Parámetros!$A$4:$A$10,0))</f>
        <v>6000</v>
      </c>
      <c r="K181" s="7">
        <f t="shared" si="4"/>
        <v>1.3788333333333334</v>
      </c>
      <c r="L181" s="3" t="s">
        <v>19</v>
      </c>
      <c r="M181" s="3" t="str">
        <f>IF(L181="Sí","Atraso heredado",IF(K181&lt;[1]Parámetros!$E$13,"Adelantado",IF(K181&lt;=[1]Parámetros!$E$14,"En ventana ±10%","Fuera de ventana")))</f>
        <v>Fuera de ventana</v>
      </c>
      <c r="N181" s="3">
        <f t="shared" si="5"/>
        <v>2028</v>
      </c>
    </row>
    <row r="182" spans="1:14" x14ac:dyDescent="0.3">
      <c r="A182" s="3">
        <v>69</v>
      </c>
      <c r="B182" s="4" t="s">
        <v>45</v>
      </c>
      <c r="C182" s="3" t="s">
        <v>19</v>
      </c>
      <c r="D182" s="5">
        <v>46921</v>
      </c>
      <c r="E182" s="5">
        <v>46927</v>
      </c>
      <c r="F182" s="3">
        <v>7</v>
      </c>
      <c r="G182" s="4" t="s">
        <v>27</v>
      </c>
      <c r="H182" s="3" t="s">
        <v>28</v>
      </c>
      <c r="I182" s="6">
        <v>5033</v>
      </c>
      <c r="J182" s="6">
        <f>INDEX([1]Parámetros!$C$4:$C$10,MATCH(G182,[1]Parámetros!$A$4:$A$10,0))</f>
        <v>3000</v>
      </c>
      <c r="K182" s="7">
        <f t="shared" si="4"/>
        <v>1.6776666666666666</v>
      </c>
      <c r="L182" s="3" t="s">
        <v>19</v>
      </c>
      <c r="M182" s="3" t="str">
        <f>IF(L182="Sí","Atraso heredado",IF(K182&lt;[1]Parámetros!$E$13,"Adelantado",IF(K182&lt;=[1]Parámetros!$E$14,"En ventana ±10%","Fuera de ventana")))</f>
        <v>Fuera de ventana</v>
      </c>
      <c r="N182" s="3">
        <f t="shared" si="5"/>
        <v>2028</v>
      </c>
    </row>
    <row r="183" spans="1:14" x14ac:dyDescent="0.3">
      <c r="A183" s="3">
        <v>70</v>
      </c>
      <c r="B183" s="4" t="s">
        <v>46</v>
      </c>
      <c r="C183" s="3" t="s">
        <v>19</v>
      </c>
      <c r="D183" s="5">
        <v>46928</v>
      </c>
      <c r="E183" s="5">
        <v>46934</v>
      </c>
      <c r="F183" s="3">
        <v>7</v>
      </c>
      <c r="G183" s="4" t="s">
        <v>31</v>
      </c>
      <c r="H183" s="3" t="s">
        <v>32</v>
      </c>
      <c r="I183" s="6">
        <v>7841</v>
      </c>
      <c r="J183" s="6">
        <f>INDEX([1]Parámetros!$C$4:$C$10,MATCH(G183,[1]Parámetros!$A$4:$A$10,0))</f>
        <v>6000</v>
      </c>
      <c r="K183" s="7">
        <f t="shared" si="4"/>
        <v>1.3068333333333333</v>
      </c>
      <c r="L183" s="3" t="s">
        <v>19</v>
      </c>
      <c r="M183" s="3" t="str">
        <f>IF(L183="Sí","Atraso heredado",IF(K183&lt;[1]Parámetros!$E$13,"Adelantado",IF(K183&lt;=[1]Parámetros!$E$14,"En ventana ±10%","Fuera de ventana")))</f>
        <v>Fuera de ventana</v>
      </c>
      <c r="N183" s="3">
        <f t="shared" si="5"/>
        <v>2028</v>
      </c>
    </row>
    <row r="184" spans="1:14" x14ac:dyDescent="0.3">
      <c r="A184" s="3">
        <v>70</v>
      </c>
      <c r="B184" s="4" t="s">
        <v>46</v>
      </c>
      <c r="C184" s="3" t="s">
        <v>19</v>
      </c>
      <c r="D184" s="5">
        <v>46928</v>
      </c>
      <c r="E184" s="5">
        <v>46934</v>
      </c>
      <c r="F184" s="3">
        <v>7</v>
      </c>
      <c r="G184" s="4" t="s">
        <v>27</v>
      </c>
      <c r="H184" s="3" t="s">
        <v>28</v>
      </c>
      <c r="I184" s="6">
        <v>4558</v>
      </c>
      <c r="J184" s="6">
        <f>INDEX([1]Parámetros!$C$4:$C$10,MATCH(G184,[1]Parámetros!$A$4:$A$10,0))</f>
        <v>3000</v>
      </c>
      <c r="K184" s="7">
        <f t="shared" si="4"/>
        <v>1.5193333333333334</v>
      </c>
      <c r="L184" s="3" t="s">
        <v>19</v>
      </c>
      <c r="M184" s="3" t="str">
        <f>IF(L184="Sí","Atraso heredado",IF(K184&lt;[1]Parámetros!$E$13,"Adelantado",IF(K184&lt;=[1]Parámetros!$E$14,"En ventana ±10%","Fuera de ventana")))</f>
        <v>Fuera de ventana</v>
      </c>
      <c r="N184" s="3">
        <f t="shared" si="5"/>
        <v>2028</v>
      </c>
    </row>
    <row r="185" spans="1:14" x14ac:dyDescent="0.3">
      <c r="A185" s="3">
        <v>71</v>
      </c>
      <c r="B185" s="4" t="s">
        <v>30</v>
      </c>
      <c r="C185" s="3" t="s">
        <v>16</v>
      </c>
      <c r="D185" s="5">
        <v>46935</v>
      </c>
      <c r="E185" s="5">
        <v>46942</v>
      </c>
      <c r="F185" s="3">
        <v>8</v>
      </c>
      <c r="G185" s="4" t="s">
        <v>17</v>
      </c>
      <c r="H185" s="3" t="s">
        <v>18</v>
      </c>
      <c r="I185" s="6">
        <v>3184</v>
      </c>
      <c r="J185" s="6">
        <f>INDEX([1]Parámetros!$C$4:$C$10,MATCH(G185,[1]Parámetros!$A$4:$A$10,0))</f>
        <v>1500</v>
      </c>
      <c r="K185" s="7">
        <f t="shared" si="4"/>
        <v>2.1226666666666665</v>
      </c>
      <c r="L185" s="3" t="s">
        <v>19</v>
      </c>
      <c r="M185" s="3" t="str">
        <f>IF(L185="Sí","Atraso heredado",IF(K185&lt;[1]Parámetros!$E$13,"Adelantado",IF(K185&lt;=[1]Parámetros!$E$14,"En ventana ±10%","Fuera de ventana")))</f>
        <v>Fuera de ventana</v>
      </c>
      <c r="N185" s="3">
        <f t="shared" si="5"/>
        <v>2028</v>
      </c>
    </row>
    <row r="186" spans="1:14" x14ac:dyDescent="0.3">
      <c r="A186" s="3">
        <v>71</v>
      </c>
      <c r="B186" s="4" t="s">
        <v>30</v>
      </c>
      <c r="C186" s="3" t="s">
        <v>16</v>
      </c>
      <c r="D186" s="5">
        <v>46935</v>
      </c>
      <c r="E186" s="5">
        <v>46942</v>
      </c>
      <c r="F186" s="3">
        <v>8</v>
      </c>
      <c r="G186" s="4" t="s">
        <v>31</v>
      </c>
      <c r="H186" s="3" t="s">
        <v>32</v>
      </c>
      <c r="I186" s="6">
        <v>7318</v>
      </c>
      <c r="J186" s="6">
        <f>INDEX([1]Parámetros!$C$4:$C$10,MATCH(G186,[1]Parámetros!$A$4:$A$10,0))</f>
        <v>6000</v>
      </c>
      <c r="K186" s="7">
        <f t="shared" si="4"/>
        <v>1.2196666666666667</v>
      </c>
      <c r="L186" s="3" t="s">
        <v>19</v>
      </c>
      <c r="M186" s="3" t="str">
        <f>IF(L186="Sí","Atraso heredado",IF(K186&lt;[1]Parámetros!$E$13,"Adelantado",IF(K186&lt;=[1]Parámetros!$E$14,"En ventana ±10%","Fuera de ventana")))</f>
        <v>Fuera de ventana</v>
      </c>
      <c r="N186" s="3">
        <f t="shared" si="5"/>
        <v>2028</v>
      </c>
    </row>
    <row r="187" spans="1:14" x14ac:dyDescent="0.3">
      <c r="A187" s="3">
        <v>72</v>
      </c>
      <c r="B187" s="4" t="s">
        <v>39</v>
      </c>
      <c r="C187" s="3" t="s">
        <v>19</v>
      </c>
      <c r="D187" s="5">
        <v>46943</v>
      </c>
      <c r="E187" s="5">
        <v>46946</v>
      </c>
      <c r="F187" s="3">
        <v>4</v>
      </c>
      <c r="G187" s="4" t="s">
        <v>27</v>
      </c>
      <c r="H187" s="3" t="s">
        <v>28</v>
      </c>
      <c r="I187" s="6">
        <v>3283</v>
      </c>
      <c r="J187" s="6">
        <f>INDEX([1]Parámetros!$C$4:$C$10,MATCH(G187,[1]Parámetros!$A$4:$A$10,0))</f>
        <v>3000</v>
      </c>
      <c r="K187" s="7">
        <f t="shared" si="4"/>
        <v>1.0943333333333334</v>
      </c>
      <c r="L187" s="3" t="s">
        <v>19</v>
      </c>
      <c r="M187" s="3" t="str">
        <f>IF(L187="Sí","Atraso heredado",IF(K187&lt;[1]Parámetros!$E$13,"Adelantado",IF(K187&lt;=[1]Parámetros!$E$14,"En ventana ±10%","Fuera de ventana")))</f>
        <v>En ventana ±10%</v>
      </c>
      <c r="N187" s="3">
        <f t="shared" si="5"/>
        <v>2028</v>
      </c>
    </row>
    <row r="188" spans="1:14" x14ac:dyDescent="0.3">
      <c r="A188" s="3">
        <v>73</v>
      </c>
      <c r="B188" s="4" t="s">
        <v>38</v>
      </c>
      <c r="C188" s="3" t="s">
        <v>16</v>
      </c>
      <c r="D188" s="5">
        <v>46947</v>
      </c>
      <c r="E188" s="5">
        <v>46948</v>
      </c>
      <c r="F188" s="3">
        <v>2</v>
      </c>
      <c r="G188" s="4" t="s">
        <v>17</v>
      </c>
      <c r="H188" s="3" t="s">
        <v>18</v>
      </c>
      <c r="I188" s="6">
        <v>1568</v>
      </c>
      <c r="J188" s="6">
        <f>INDEX([1]Parámetros!$C$4:$C$10,MATCH(G188,[1]Parámetros!$A$4:$A$10,0))</f>
        <v>1500</v>
      </c>
      <c r="K188" s="7">
        <f t="shared" si="4"/>
        <v>1.0453333333333332</v>
      </c>
      <c r="L188" s="3" t="s">
        <v>19</v>
      </c>
      <c r="M188" s="3" t="str">
        <f>IF(L188="Sí","Atraso heredado",IF(K188&lt;[1]Parámetros!$E$13,"Adelantado",IF(K188&lt;=[1]Parámetros!$E$14,"En ventana ±10%","Fuera de ventana")))</f>
        <v>En ventana ±10%</v>
      </c>
      <c r="N188" s="3">
        <f t="shared" si="5"/>
        <v>2028</v>
      </c>
    </row>
    <row r="189" spans="1:14" x14ac:dyDescent="0.3">
      <c r="A189" s="3">
        <v>74</v>
      </c>
      <c r="B189" s="4" t="s">
        <v>26</v>
      </c>
      <c r="C189" s="3" t="s">
        <v>19</v>
      </c>
      <c r="D189" s="5">
        <v>46949</v>
      </c>
      <c r="E189" s="5">
        <v>46955</v>
      </c>
      <c r="F189" s="3">
        <v>7</v>
      </c>
      <c r="G189" s="4" t="s">
        <v>31</v>
      </c>
      <c r="H189" s="3" t="s">
        <v>32</v>
      </c>
      <c r="I189" s="6">
        <v>7711</v>
      </c>
      <c r="J189" s="6">
        <f>INDEX([1]Parámetros!$C$4:$C$10,MATCH(G189,[1]Parámetros!$A$4:$A$10,0))</f>
        <v>6000</v>
      </c>
      <c r="K189" s="7">
        <f t="shared" si="4"/>
        <v>1.2851666666666666</v>
      </c>
      <c r="L189" s="3" t="s">
        <v>19</v>
      </c>
      <c r="M189" s="3" t="str">
        <f>IF(L189="Sí","Atraso heredado",IF(K189&lt;[1]Parámetros!$E$13,"Adelantado",IF(K189&lt;=[1]Parámetros!$E$14,"En ventana ±10%","Fuera de ventana")))</f>
        <v>Fuera de ventana</v>
      </c>
      <c r="N189" s="3">
        <f t="shared" si="5"/>
        <v>2028</v>
      </c>
    </row>
    <row r="190" spans="1:14" x14ac:dyDescent="0.3">
      <c r="A190" s="3">
        <v>74</v>
      </c>
      <c r="B190" s="4" t="s">
        <v>26</v>
      </c>
      <c r="C190" s="3" t="s">
        <v>19</v>
      </c>
      <c r="D190" s="5">
        <v>46949</v>
      </c>
      <c r="E190" s="5">
        <v>46955</v>
      </c>
      <c r="F190" s="3">
        <v>7</v>
      </c>
      <c r="G190" s="4" t="s">
        <v>27</v>
      </c>
      <c r="H190" s="3" t="s">
        <v>28</v>
      </c>
      <c r="I190" s="6">
        <v>4558</v>
      </c>
      <c r="J190" s="6">
        <f>INDEX([1]Parámetros!$C$4:$C$10,MATCH(G190,[1]Parámetros!$A$4:$A$10,0))</f>
        <v>3000</v>
      </c>
      <c r="K190" s="7">
        <f t="shared" si="4"/>
        <v>1.5193333333333334</v>
      </c>
      <c r="L190" s="3" t="s">
        <v>19</v>
      </c>
      <c r="M190" s="3" t="str">
        <f>IF(L190="Sí","Atraso heredado",IF(K190&lt;[1]Parámetros!$E$13,"Adelantado",IF(K190&lt;=[1]Parámetros!$E$14,"En ventana ±10%","Fuera de ventana")))</f>
        <v>Fuera de ventana</v>
      </c>
      <c r="N190" s="3">
        <f t="shared" si="5"/>
        <v>2028</v>
      </c>
    </row>
    <row r="191" spans="1:14" x14ac:dyDescent="0.3">
      <c r="A191" s="3">
        <v>75</v>
      </c>
      <c r="B191" s="4" t="s">
        <v>40</v>
      </c>
      <c r="C191" s="3" t="s">
        <v>19</v>
      </c>
      <c r="D191" s="5">
        <v>46956</v>
      </c>
      <c r="E191" s="5">
        <v>46978</v>
      </c>
      <c r="F191" s="3">
        <v>23</v>
      </c>
      <c r="G191" s="4" t="s">
        <v>20</v>
      </c>
      <c r="H191" s="3" t="s">
        <v>21</v>
      </c>
      <c r="I191" s="6">
        <v>12744</v>
      </c>
      <c r="J191" s="6">
        <f>INDEX([1]Parámetros!$C$4:$C$10,MATCH(G191,[1]Parámetros!$A$4:$A$10,0))</f>
        <v>12000</v>
      </c>
      <c r="K191" s="7">
        <f t="shared" si="4"/>
        <v>1.0620000000000001</v>
      </c>
      <c r="L191" s="3" t="s">
        <v>19</v>
      </c>
      <c r="M191" s="3" t="str">
        <f>IF(L191="Sí","Atraso heredado",IF(K191&lt;[1]Parámetros!$E$13,"Adelantado",IF(K191&lt;=[1]Parámetros!$E$14,"En ventana ±10%","Fuera de ventana")))</f>
        <v>En ventana ±10%</v>
      </c>
      <c r="N191" s="3">
        <f t="shared" si="5"/>
        <v>2028</v>
      </c>
    </row>
    <row r="192" spans="1:14" x14ac:dyDescent="0.3">
      <c r="A192" s="3">
        <v>75</v>
      </c>
      <c r="B192" s="4" t="s">
        <v>40</v>
      </c>
      <c r="C192" s="3" t="s">
        <v>19</v>
      </c>
      <c r="D192" s="5">
        <v>46956</v>
      </c>
      <c r="E192" s="5">
        <v>46978</v>
      </c>
      <c r="F192" s="3">
        <v>23</v>
      </c>
      <c r="G192" s="4" t="s">
        <v>22</v>
      </c>
      <c r="H192" s="3" t="s">
        <v>23</v>
      </c>
      <c r="I192" s="6">
        <v>12744</v>
      </c>
      <c r="J192" s="6">
        <f>INDEX([1]Parámetros!$C$4:$C$10,MATCH(G192,[1]Parámetros!$A$4:$A$10,0))</f>
        <v>12000</v>
      </c>
      <c r="K192" s="7">
        <f t="shared" si="4"/>
        <v>1.0620000000000001</v>
      </c>
      <c r="L192" s="3" t="s">
        <v>19</v>
      </c>
      <c r="M192" s="3" t="str">
        <f>IF(L192="Sí","Atraso heredado",IF(K192&lt;[1]Parámetros!$E$13,"Adelantado",IF(K192&lt;=[1]Parámetros!$E$14,"En ventana ±10%","Fuera de ventana")))</f>
        <v>En ventana ±10%</v>
      </c>
      <c r="N192" s="3">
        <f t="shared" si="5"/>
        <v>2028</v>
      </c>
    </row>
    <row r="193" spans="1:14" x14ac:dyDescent="0.3">
      <c r="A193" s="3">
        <v>75</v>
      </c>
      <c r="B193" s="4" t="s">
        <v>40</v>
      </c>
      <c r="C193" s="3" t="s">
        <v>19</v>
      </c>
      <c r="D193" s="5">
        <v>46956</v>
      </c>
      <c r="E193" s="5">
        <v>46978</v>
      </c>
      <c r="F193" s="3">
        <v>23</v>
      </c>
      <c r="G193" s="4" t="s">
        <v>33</v>
      </c>
      <c r="H193" s="3" t="s">
        <v>34</v>
      </c>
      <c r="I193" s="6">
        <v>12744</v>
      </c>
      <c r="J193" s="6">
        <f>INDEX([1]Parámetros!$C$4:$C$10,MATCH(G193,[1]Parámetros!$A$4:$A$10,0))</f>
        <v>12000</v>
      </c>
      <c r="K193" s="7">
        <f t="shared" si="4"/>
        <v>1.0620000000000001</v>
      </c>
      <c r="L193" s="3" t="s">
        <v>19</v>
      </c>
      <c r="M193" s="3" t="str">
        <f>IF(L193="Sí","Atraso heredado",IF(K193&lt;[1]Parámetros!$E$13,"Adelantado",IF(K193&lt;=[1]Parámetros!$E$14,"En ventana ±10%","Fuera de ventana")))</f>
        <v>En ventana ±10%</v>
      </c>
      <c r="N193" s="3">
        <f t="shared" si="5"/>
        <v>2028</v>
      </c>
    </row>
    <row r="194" spans="1:14" x14ac:dyDescent="0.3">
      <c r="A194" s="3">
        <v>75</v>
      </c>
      <c r="B194" s="4" t="s">
        <v>40</v>
      </c>
      <c r="C194" s="3" t="s">
        <v>19</v>
      </c>
      <c r="D194" s="5">
        <v>46956</v>
      </c>
      <c r="E194" s="5">
        <v>46978</v>
      </c>
      <c r="F194" s="3">
        <v>23</v>
      </c>
      <c r="G194" s="4" t="s">
        <v>27</v>
      </c>
      <c r="H194" s="3" t="s">
        <v>28</v>
      </c>
      <c r="I194" s="6">
        <v>4558</v>
      </c>
      <c r="J194" s="6">
        <f>INDEX([1]Parámetros!$C$4:$C$10,MATCH(G194,[1]Parámetros!$A$4:$A$10,0))</f>
        <v>3000</v>
      </c>
      <c r="K194" s="7">
        <f t="shared" si="4"/>
        <v>1.5193333333333334</v>
      </c>
      <c r="L194" s="3" t="s">
        <v>19</v>
      </c>
      <c r="M194" s="3" t="str">
        <f>IF(L194="Sí","Atraso heredado",IF(K194&lt;[1]Parámetros!$E$13,"Adelantado",IF(K194&lt;=[1]Parámetros!$E$14,"En ventana ±10%","Fuera de ventana")))</f>
        <v>Fuera de ventana</v>
      </c>
      <c r="N194" s="3">
        <f t="shared" si="5"/>
        <v>2028</v>
      </c>
    </row>
    <row r="195" spans="1:14" x14ac:dyDescent="0.3">
      <c r="A195" s="3">
        <v>76</v>
      </c>
      <c r="B195" s="4" t="s">
        <v>35</v>
      </c>
      <c r="C195" s="3" t="s">
        <v>16</v>
      </c>
      <c r="D195" s="5">
        <v>46979</v>
      </c>
      <c r="E195" s="5">
        <v>46980</v>
      </c>
      <c r="F195" s="3">
        <v>2</v>
      </c>
      <c r="G195" s="4" t="s">
        <v>17</v>
      </c>
      <c r="H195" s="3" t="s">
        <v>18</v>
      </c>
      <c r="I195" s="6">
        <v>1616</v>
      </c>
      <c r="J195" s="6">
        <f>INDEX([1]Parámetros!$C$4:$C$10,MATCH(G195,[1]Parámetros!$A$4:$A$10,0))</f>
        <v>1500</v>
      </c>
      <c r="K195" s="7">
        <f t="shared" si="4"/>
        <v>1.0773333333333333</v>
      </c>
      <c r="L195" s="3" t="s">
        <v>19</v>
      </c>
      <c r="M195" s="3" t="str">
        <f>IF(L195="Sí","Atraso heredado",IF(K195&lt;[1]Parámetros!$E$13,"Adelantado",IF(K195&lt;=[1]Parámetros!$E$14,"En ventana ±10%","Fuera de ventana")))</f>
        <v>En ventana ±10%</v>
      </c>
      <c r="N195" s="3">
        <f t="shared" si="5"/>
        <v>2028</v>
      </c>
    </row>
    <row r="196" spans="1:14" x14ac:dyDescent="0.3">
      <c r="A196" s="3">
        <v>77</v>
      </c>
      <c r="B196" s="4" t="s">
        <v>41</v>
      </c>
      <c r="C196" s="3" t="s">
        <v>19</v>
      </c>
      <c r="D196" s="5">
        <v>46981</v>
      </c>
      <c r="E196" s="5">
        <v>47003</v>
      </c>
      <c r="F196" s="3">
        <v>23</v>
      </c>
      <c r="G196" s="4" t="s">
        <v>20</v>
      </c>
      <c r="H196" s="3" t="s">
        <v>21</v>
      </c>
      <c r="I196" s="6">
        <v>12247</v>
      </c>
      <c r="J196" s="6">
        <f>INDEX([1]Parámetros!$C$4:$C$10,MATCH(G196,[1]Parámetros!$A$4:$A$10,0))</f>
        <v>12000</v>
      </c>
      <c r="K196" s="7">
        <f t="shared" ref="K196:K259" si="6">I196/J196</f>
        <v>1.0205833333333334</v>
      </c>
      <c r="L196" s="3" t="s">
        <v>19</v>
      </c>
      <c r="M196" s="3" t="str">
        <f>IF(L196="Sí","Atraso heredado",IF(K196&lt;[1]Parámetros!$E$13,"Adelantado",IF(K196&lt;=[1]Parámetros!$E$14,"En ventana ±10%","Fuera de ventana")))</f>
        <v>En ventana ±10%</v>
      </c>
      <c r="N196" s="3">
        <f t="shared" ref="N196:N259" si="7">YEAR(D196)</f>
        <v>2028</v>
      </c>
    </row>
    <row r="197" spans="1:14" x14ac:dyDescent="0.3">
      <c r="A197" s="3">
        <v>77</v>
      </c>
      <c r="B197" s="4" t="s">
        <v>41</v>
      </c>
      <c r="C197" s="3" t="s">
        <v>19</v>
      </c>
      <c r="D197" s="5">
        <v>46981</v>
      </c>
      <c r="E197" s="5">
        <v>47003</v>
      </c>
      <c r="F197" s="3">
        <v>23</v>
      </c>
      <c r="G197" s="4" t="s">
        <v>22</v>
      </c>
      <c r="H197" s="3" t="s">
        <v>23</v>
      </c>
      <c r="I197" s="6">
        <v>12247</v>
      </c>
      <c r="J197" s="6">
        <f>INDEX([1]Parámetros!$C$4:$C$10,MATCH(G197,[1]Parámetros!$A$4:$A$10,0))</f>
        <v>12000</v>
      </c>
      <c r="K197" s="7">
        <f t="shared" si="6"/>
        <v>1.0205833333333334</v>
      </c>
      <c r="L197" s="3" t="s">
        <v>19</v>
      </c>
      <c r="M197" s="3" t="str">
        <f>IF(L197="Sí","Atraso heredado",IF(K197&lt;[1]Parámetros!$E$13,"Adelantado",IF(K197&lt;=[1]Parámetros!$E$14,"En ventana ±10%","Fuera de ventana")))</f>
        <v>En ventana ±10%</v>
      </c>
      <c r="N197" s="3">
        <f t="shared" si="7"/>
        <v>2028</v>
      </c>
    </row>
    <row r="198" spans="1:14" x14ac:dyDescent="0.3">
      <c r="A198" s="3">
        <v>77</v>
      </c>
      <c r="B198" s="4" t="s">
        <v>41</v>
      </c>
      <c r="C198" s="3" t="s">
        <v>19</v>
      </c>
      <c r="D198" s="5">
        <v>46981</v>
      </c>
      <c r="E198" s="5">
        <v>47003</v>
      </c>
      <c r="F198" s="3">
        <v>23</v>
      </c>
      <c r="G198" s="4" t="s">
        <v>33</v>
      </c>
      <c r="H198" s="3" t="s">
        <v>34</v>
      </c>
      <c r="I198" s="6">
        <v>12247</v>
      </c>
      <c r="J198" s="6">
        <f>INDEX([1]Parámetros!$C$4:$C$10,MATCH(G198,[1]Parámetros!$A$4:$A$10,0))</f>
        <v>12000</v>
      </c>
      <c r="K198" s="7">
        <f t="shared" si="6"/>
        <v>1.0205833333333334</v>
      </c>
      <c r="L198" s="3" t="s">
        <v>19</v>
      </c>
      <c r="M198" s="3" t="str">
        <f>IF(L198="Sí","Atraso heredado",IF(K198&lt;[1]Parámetros!$E$13,"Adelantado",IF(K198&lt;=[1]Parámetros!$E$14,"En ventana ±10%","Fuera de ventana")))</f>
        <v>En ventana ±10%</v>
      </c>
      <c r="N198" s="3">
        <f t="shared" si="7"/>
        <v>2028</v>
      </c>
    </row>
    <row r="199" spans="1:14" x14ac:dyDescent="0.3">
      <c r="A199" s="3">
        <v>77</v>
      </c>
      <c r="B199" s="4" t="s">
        <v>41</v>
      </c>
      <c r="C199" s="3" t="s">
        <v>19</v>
      </c>
      <c r="D199" s="5">
        <v>46981</v>
      </c>
      <c r="E199" s="5">
        <v>47003</v>
      </c>
      <c r="F199" s="3">
        <v>23</v>
      </c>
      <c r="G199" s="4" t="s">
        <v>24</v>
      </c>
      <c r="H199" s="3" t="s">
        <v>25</v>
      </c>
      <c r="I199" s="6">
        <v>26313</v>
      </c>
      <c r="J199" s="6">
        <f>INDEX([1]Parámetros!$C$4:$C$10,MATCH(G199,[1]Parámetros!$A$4:$A$10,0))</f>
        <v>24000</v>
      </c>
      <c r="K199" s="7">
        <f t="shared" si="6"/>
        <v>1.0963750000000001</v>
      </c>
      <c r="L199" s="3" t="s">
        <v>19</v>
      </c>
      <c r="M199" s="3" t="str">
        <f>IF(L199="Sí","Atraso heredado",IF(K199&lt;[1]Parámetros!$E$13,"Adelantado",IF(K199&lt;=[1]Parámetros!$E$14,"En ventana ±10%","Fuera de ventana")))</f>
        <v>En ventana ±10%</v>
      </c>
      <c r="N199" s="3">
        <f t="shared" si="7"/>
        <v>2028</v>
      </c>
    </row>
    <row r="200" spans="1:14" x14ac:dyDescent="0.3">
      <c r="A200" s="3">
        <v>77</v>
      </c>
      <c r="B200" s="4" t="s">
        <v>41</v>
      </c>
      <c r="C200" s="3" t="s">
        <v>19</v>
      </c>
      <c r="D200" s="5">
        <v>46981</v>
      </c>
      <c r="E200" s="5">
        <v>47003</v>
      </c>
      <c r="F200" s="3">
        <v>23</v>
      </c>
      <c r="G200" s="4" t="s">
        <v>27</v>
      </c>
      <c r="H200" s="3" t="s">
        <v>28</v>
      </c>
      <c r="I200" s="6">
        <v>4903</v>
      </c>
      <c r="J200" s="6">
        <f>INDEX([1]Parámetros!$C$4:$C$10,MATCH(G200,[1]Parámetros!$A$4:$A$10,0))</f>
        <v>3000</v>
      </c>
      <c r="K200" s="7">
        <f t="shared" si="6"/>
        <v>1.6343333333333334</v>
      </c>
      <c r="L200" s="3" t="s">
        <v>19</v>
      </c>
      <c r="M200" s="3" t="str">
        <f>IF(L200="Sí","Atraso heredado",IF(K200&lt;[1]Parámetros!$E$13,"Adelantado",IF(K200&lt;=[1]Parámetros!$E$14,"En ventana ±10%","Fuera de ventana")))</f>
        <v>Fuera de ventana</v>
      </c>
      <c r="N200" s="3">
        <f t="shared" si="7"/>
        <v>2028</v>
      </c>
    </row>
    <row r="201" spans="1:14" x14ac:dyDescent="0.3">
      <c r="A201" s="3">
        <v>78</v>
      </c>
      <c r="B201" s="4" t="s">
        <v>44</v>
      </c>
      <c r="C201" s="3" t="s">
        <v>19</v>
      </c>
      <c r="D201" s="5">
        <v>47004</v>
      </c>
      <c r="E201" s="5">
        <v>47007</v>
      </c>
      <c r="F201" s="3">
        <v>4</v>
      </c>
      <c r="G201" s="4" t="s">
        <v>27</v>
      </c>
      <c r="H201" s="3" t="s">
        <v>28</v>
      </c>
      <c r="I201" s="6">
        <v>3240</v>
      </c>
      <c r="J201" s="6">
        <f>INDEX([1]Parámetros!$C$4:$C$10,MATCH(G201,[1]Parámetros!$A$4:$A$10,0))</f>
        <v>3000</v>
      </c>
      <c r="K201" s="7">
        <f t="shared" si="6"/>
        <v>1.08</v>
      </c>
      <c r="L201" s="3" t="s">
        <v>19</v>
      </c>
      <c r="M201" s="3" t="str">
        <f>IF(L201="Sí","Atraso heredado",IF(K201&lt;[1]Parámetros!$E$13,"Adelantado",IF(K201&lt;=[1]Parámetros!$E$14,"En ventana ±10%","Fuera de ventana")))</f>
        <v>En ventana ±10%</v>
      </c>
      <c r="N201" s="3">
        <f t="shared" si="7"/>
        <v>2028</v>
      </c>
    </row>
    <row r="202" spans="1:14" x14ac:dyDescent="0.3">
      <c r="A202" s="3">
        <v>79</v>
      </c>
      <c r="B202" s="4" t="s">
        <v>30</v>
      </c>
      <c r="C202" s="3" t="s">
        <v>16</v>
      </c>
      <c r="D202" s="5">
        <v>47008</v>
      </c>
      <c r="E202" s="5">
        <v>47009</v>
      </c>
      <c r="F202" s="3">
        <v>2</v>
      </c>
      <c r="G202" s="4" t="s">
        <v>17</v>
      </c>
      <c r="H202" s="3" t="s">
        <v>18</v>
      </c>
      <c r="I202" s="6">
        <v>1544</v>
      </c>
      <c r="J202" s="6">
        <f>INDEX([1]Parámetros!$C$4:$C$10,MATCH(G202,[1]Parámetros!$A$4:$A$10,0))</f>
        <v>1500</v>
      </c>
      <c r="K202" s="7">
        <f t="shared" si="6"/>
        <v>1.0293333333333334</v>
      </c>
      <c r="L202" s="3" t="s">
        <v>19</v>
      </c>
      <c r="M202" s="3" t="str">
        <f>IF(L202="Sí","Atraso heredado",IF(K202&lt;[1]Parámetros!$E$13,"Adelantado",IF(K202&lt;=[1]Parámetros!$E$14,"En ventana ±10%","Fuera de ventana")))</f>
        <v>En ventana ±10%</v>
      </c>
      <c r="N202" s="3">
        <f t="shared" si="7"/>
        <v>2028</v>
      </c>
    </row>
    <row r="203" spans="1:14" x14ac:dyDescent="0.3">
      <c r="A203" s="3">
        <v>80</v>
      </c>
      <c r="B203" s="4" t="s">
        <v>15</v>
      </c>
      <c r="C203" s="3" t="s">
        <v>16</v>
      </c>
      <c r="D203" s="5">
        <v>47010</v>
      </c>
      <c r="E203" s="5">
        <v>47014</v>
      </c>
      <c r="F203" s="3">
        <v>5</v>
      </c>
      <c r="G203" s="4" t="s">
        <v>17</v>
      </c>
      <c r="H203" s="3" t="s">
        <v>18</v>
      </c>
      <c r="I203" s="6">
        <v>3018</v>
      </c>
      <c r="J203" s="6">
        <f>INDEX([1]Parámetros!$C$4:$C$10,MATCH(G203,[1]Parámetros!$A$4:$A$10,0))</f>
        <v>1500</v>
      </c>
      <c r="K203" s="7">
        <f t="shared" si="6"/>
        <v>2.012</v>
      </c>
      <c r="L203" s="3" t="s">
        <v>19</v>
      </c>
      <c r="M203" s="3" t="str">
        <f>IF(L203="Sí","Atraso heredado",IF(K203&lt;[1]Parámetros!$E$13,"Adelantado",IF(K203&lt;=[1]Parámetros!$E$14,"En ventana ±10%","Fuera de ventana")))</f>
        <v>Fuera de ventana</v>
      </c>
      <c r="N203" s="3">
        <f t="shared" si="7"/>
        <v>2028</v>
      </c>
    </row>
    <row r="204" spans="1:14" x14ac:dyDescent="0.3">
      <c r="A204" s="3">
        <v>80</v>
      </c>
      <c r="B204" s="4" t="s">
        <v>15</v>
      </c>
      <c r="C204" s="3" t="s">
        <v>16</v>
      </c>
      <c r="D204" s="5">
        <v>47010</v>
      </c>
      <c r="E204" s="5">
        <v>47014</v>
      </c>
      <c r="F204" s="3">
        <v>5</v>
      </c>
      <c r="G204" s="4" t="s">
        <v>27</v>
      </c>
      <c r="H204" s="3" t="s">
        <v>28</v>
      </c>
      <c r="I204" s="6">
        <v>4372</v>
      </c>
      <c r="J204" s="6">
        <f>INDEX([1]Parámetros!$C$4:$C$10,MATCH(G204,[1]Parámetros!$A$4:$A$10,0))</f>
        <v>3000</v>
      </c>
      <c r="K204" s="7">
        <f t="shared" si="6"/>
        <v>1.4573333333333334</v>
      </c>
      <c r="L204" s="3" t="s">
        <v>19</v>
      </c>
      <c r="M204" s="3" t="str">
        <f>IF(L204="Sí","Atraso heredado",IF(K204&lt;[1]Parámetros!$E$13,"Adelantado",IF(K204&lt;=[1]Parámetros!$E$14,"En ventana ±10%","Fuera de ventana")))</f>
        <v>Fuera de ventana</v>
      </c>
      <c r="N204" s="3">
        <f t="shared" si="7"/>
        <v>2028</v>
      </c>
    </row>
    <row r="205" spans="1:14" x14ac:dyDescent="0.3">
      <c r="A205" s="3">
        <v>81</v>
      </c>
      <c r="B205" s="4" t="s">
        <v>29</v>
      </c>
      <c r="C205" s="3" t="s">
        <v>16</v>
      </c>
      <c r="D205" s="5">
        <v>47015</v>
      </c>
      <c r="E205" s="5">
        <v>47026</v>
      </c>
      <c r="F205" s="3">
        <v>12</v>
      </c>
      <c r="G205" s="4" t="s">
        <v>17</v>
      </c>
      <c r="H205" s="3" t="s">
        <v>18</v>
      </c>
      <c r="I205" s="6">
        <v>3018</v>
      </c>
      <c r="J205" s="6">
        <f>INDEX([1]Parámetros!$C$4:$C$10,MATCH(G205,[1]Parámetros!$A$4:$A$10,0))</f>
        <v>1500</v>
      </c>
      <c r="K205" s="7">
        <f t="shared" si="6"/>
        <v>2.012</v>
      </c>
      <c r="L205" s="3" t="s">
        <v>19</v>
      </c>
      <c r="M205" s="3" t="str">
        <f>IF(L205="Sí","Atraso heredado",IF(K205&lt;[1]Parámetros!$E$13,"Adelantado",IF(K205&lt;=[1]Parámetros!$E$14,"En ventana ±10%","Fuera de ventana")))</f>
        <v>Fuera de ventana</v>
      </c>
      <c r="N205" s="3">
        <f t="shared" si="7"/>
        <v>2028</v>
      </c>
    </row>
    <row r="206" spans="1:14" x14ac:dyDescent="0.3">
      <c r="A206" s="3">
        <v>81</v>
      </c>
      <c r="B206" s="4" t="s">
        <v>29</v>
      </c>
      <c r="C206" s="3" t="s">
        <v>16</v>
      </c>
      <c r="D206" s="5">
        <v>47015</v>
      </c>
      <c r="E206" s="5">
        <v>47026</v>
      </c>
      <c r="F206" s="3">
        <v>12</v>
      </c>
      <c r="G206" s="4" t="s">
        <v>31</v>
      </c>
      <c r="H206" s="3" t="s">
        <v>32</v>
      </c>
      <c r="I206" s="6">
        <v>7746</v>
      </c>
      <c r="J206" s="6">
        <f>INDEX([1]Parámetros!$C$4:$C$10,MATCH(G206,[1]Parámetros!$A$4:$A$10,0))</f>
        <v>6000</v>
      </c>
      <c r="K206" s="7">
        <f t="shared" si="6"/>
        <v>1.2909999999999999</v>
      </c>
      <c r="L206" s="3" t="s">
        <v>19</v>
      </c>
      <c r="M206" s="3" t="str">
        <f>IF(L206="Sí","Atraso heredado",IF(K206&lt;[1]Parámetros!$E$13,"Adelantado",IF(K206&lt;=[1]Parámetros!$E$14,"En ventana ±10%","Fuera de ventana")))</f>
        <v>Fuera de ventana</v>
      </c>
      <c r="N206" s="3">
        <f t="shared" si="7"/>
        <v>2028</v>
      </c>
    </row>
    <row r="207" spans="1:14" x14ac:dyDescent="0.3">
      <c r="A207" s="3">
        <v>81</v>
      </c>
      <c r="B207" s="4" t="s">
        <v>29</v>
      </c>
      <c r="C207" s="3" t="s">
        <v>16</v>
      </c>
      <c r="D207" s="5">
        <v>47015</v>
      </c>
      <c r="E207" s="5">
        <v>47026</v>
      </c>
      <c r="F207" s="3">
        <v>12</v>
      </c>
      <c r="G207" s="4" t="s">
        <v>33</v>
      </c>
      <c r="H207" s="3" t="s">
        <v>34</v>
      </c>
      <c r="I207" s="6">
        <v>12902</v>
      </c>
      <c r="J207" s="6">
        <f>INDEX([1]Parámetros!$C$4:$C$10,MATCH(G207,[1]Parámetros!$A$4:$A$10,0))</f>
        <v>12000</v>
      </c>
      <c r="K207" s="7">
        <f t="shared" si="6"/>
        <v>1.0751666666666666</v>
      </c>
      <c r="L207" s="3" t="s">
        <v>19</v>
      </c>
      <c r="M207" s="3" t="str">
        <f>IF(L207="Sí","Atraso heredado",IF(K207&lt;[1]Parámetros!$E$13,"Adelantado",IF(K207&lt;=[1]Parámetros!$E$14,"En ventana ±10%","Fuera de ventana")))</f>
        <v>En ventana ±10%</v>
      </c>
      <c r="N207" s="3">
        <f t="shared" si="7"/>
        <v>2028</v>
      </c>
    </row>
    <row r="208" spans="1:14" x14ac:dyDescent="0.3">
      <c r="A208" s="3">
        <v>82</v>
      </c>
      <c r="B208" s="4" t="s">
        <v>37</v>
      </c>
      <c r="C208" s="3" t="s">
        <v>16</v>
      </c>
      <c r="D208" s="5">
        <v>47027</v>
      </c>
      <c r="E208" s="5">
        <v>47031</v>
      </c>
      <c r="F208" s="3">
        <v>5</v>
      </c>
      <c r="G208" s="4" t="s">
        <v>17</v>
      </c>
      <c r="H208" s="3" t="s">
        <v>18</v>
      </c>
      <c r="I208" s="6">
        <v>2614</v>
      </c>
      <c r="J208" s="6">
        <f>INDEX([1]Parámetros!$C$4:$C$10,MATCH(G208,[1]Parámetros!$A$4:$A$10,0))</f>
        <v>1500</v>
      </c>
      <c r="K208" s="7">
        <f t="shared" si="6"/>
        <v>1.7426666666666666</v>
      </c>
      <c r="L208" s="3" t="s">
        <v>19</v>
      </c>
      <c r="M208" s="3" t="str">
        <f>IF(L208="Sí","Atraso heredado",IF(K208&lt;[1]Parámetros!$E$13,"Adelantado",IF(K208&lt;=[1]Parámetros!$E$14,"En ventana ±10%","Fuera de ventana")))</f>
        <v>Fuera de ventana</v>
      </c>
      <c r="N208" s="3">
        <f t="shared" si="7"/>
        <v>2028</v>
      </c>
    </row>
    <row r="209" spans="1:14" x14ac:dyDescent="0.3">
      <c r="A209" s="3">
        <v>82</v>
      </c>
      <c r="B209" s="4" t="s">
        <v>37</v>
      </c>
      <c r="C209" s="3" t="s">
        <v>16</v>
      </c>
      <c r="D209" s="5">
        <v>47027</v>
      </c>
      <c r="E209" s="5">
        <v>47031</v>
      </c>
      <c r="F209" s="3">
        <v>5</v>
      </c>
      <c r="G209" s="4" t="s">
        <v>27</v>
      </c>
      <c r="H209" s="3" t="s">
        <v>28</v>
      </c>
      <c r="I209" s="6">
        <v>4229</v>
      </c>
      <c r="J209" s="6">
        <f>INDEX([1]Parámetros!$C$4:$C$10,MATCH(G209,[1]Parámetros!$A$4:$A$10,0))</f>
        <v>3000</v>
      </c>
      <c r="K209" s="7">
        <f t="shared" si="6"/>
        <v>1.4096666666666666</v>
      </c>
      <c r="L209" s="3" t="s">
        <v>19</v>
      </c>
      <c r="M209" s="3" t="str">
        <f>IF(L209="Sí","Atraso heredado",IF(K209&lt;[1]Parámetros!$E$13,"Adelantado",IF(K209&lt;=[1]Parámetros!$E$14,"En ventana ±10%","Fuera de ventana")))</f>
        <v>Fuera de ventana</v>
      </c>
      <c r="N209" s="3">
        <f t="shared" si="7"/>
        <v>2028</v>
      </c>
    </row>
    <row r="210" spans="1:14" x14ac:dyDescent="0.3">
      <c r="A210" s="3">
        <v>83</v>
      </c>
      <c r="B210" s="4" t="s">
        <v>36</v>
      </c>
      <c r="C210" s="3" t="s">
        <v>19</v>
      </c>
      <c r="D210" s="5">
        <v>47032</v>
      </c>
      <c r="E210" s="5">
        <v>47038</v>
      </c>
      <c r="F210" s="3">
        <v>7</v>
      </c>
      <c r="G210" s="4" t="s">
        <v>31</v>
      </c>
      <c r="H210" s="3" t="s">
        <v>32</v>
      </c>
      <c r="I210" s="6">
        <v>6804</v>
      </c>
      <c r="J210" s="6">
        <f>INDEX([1]Parámetros!$C$4:$C$10,MATCH(G210,[1]Parámetros!$A$4:$A$10,0))</f>
        <v>6000</v>
      </c>
      <c r="K210" s="7">
        <f t="shared" si="6"/>
        <v>1.1339999999999999</v>
      </c>
      <c r="L210" s="3" t="s">
        <v>19</v>
      </c>
      <c r="M210" s="3" t="str">
        <f>IF(L210="Sí","Atraso heredado",IF(K210&lt;[1]Parámetros!$E$13,"Adelantado",IF(K210&lt;=[1]Parámetros!$E$14,"En ventana ±10%","Fuera de ventana")))</f>
        <v>Fuera de ventana</v>
      </c>
      <c r="N210" s="3">
        <f t="shared" si="7"/>
        <v>2028</v>
      </c>
    </row>
    <row r="211" spans="1:14" x14ac:dyDescent="0.3">
      <c r="A211" s="3">
        <v>83</v>
      </c>
      <c r="B211" s="4" t="s">
        <v>36</v>
      </c>
      <c r="C211" s="3" t="s">
        <v>19</v>
      </c>
      <c r="D211" s="5">
        <v>47032</v>
      </c>
      <c r="E211" s="5">
        <v>47038</v>
      </c>
      <c r="F211" s="3">
        <v>7</v>
      </c>
      <c r="G211" s="4" t="s">
        <v>27</v>
      </c>
      <c r="H211" s="3" t="s">
        <v>28</v>
      </c>
      <c r="I211" s="6">
        <v>3758</v>
      </c>
      <c r="J211" s="6">
        <f>INDEX([1]Parámetros!$C$4:$C$10,MATCH(G211,[1]Parámetros!$A$4:$A$10,0))</f>
        <v>3000</v>
      </c>
      <c r="K211" s="7">
        <f t="shared" si="6"/>
        <v>1.2526666666666666</v>
      </c>
      <c r="L211" s="3" t="s">
        <v>19</v>
      </c>
      <c r="M211" s="3" t="str">
        <f>IF(L211="Sí","Atraso heredado",IF(K211&lt;[1]Parámetros!$E$13,"Adelantado",IF(K211&lt;=[1]Parámetros!$E$14,"En ventana ±10%","Fuera de ventana")))</f>
        <v>Fuera de ventana</v>
      </c>
      <c r="N211" s="3">
        <f t="shared" si="7"/>
        <v>2028</v>
      </c>
    </row>
    <row r="212" spans="1:14" x14ac:dyDescent="0.3">
      <c r="A212" s="3">
        <v>84</v>
      </c>
      <c r="B212" s="4" t="s">
        <v>38</v>
      </c>
      <c r="C212" s="3" t="s">
        <v>16</v>
      </c>
      <c r="D212" s="5">
        <v>47039</v>
      </c>
      <c r="E212" s="5">
        <v>47043</v>
      </c>
      <c r="F212" s="3">
        <v>5</v>
      </c>
      <c r="G212" s="4" t="s">
        <v>17</v>
      </c>
      <c r="H212" s="3" t="s">
        <v>18</v>
      </c>
      <c r="I212" s="6">
        <v>2138</v>
      </c>
      <c r="J212" s="6">
        <f>INDEX([1]Parámetros!$C$4:$C$10,MATCH(G212,[1]Parámetros!$A$4:$A$10,0))</f>
        <v>1500</v>
      </c>
      <c r="K212" s="7">
        <f t="shared" si="6"/>
        <v>1.4253333333333333</v>
      </c>
      <c r="L212" s="3" t="s">
        <v>19</v>
      </c>
      <c r="M212" s="3" t="str">
        <f>IF(L212="Sí","Atraso heredado",IF(K212&lt;[1]Parámetros!$E$13,"Adelantado",IF(K212&lt;=[1]Parámetros!$E$14,"En ventana ±10%","Fuera de ventana")))</f>
        <v>Fuera de ventana</v>
      </c>
      <c r="N212" s="3">
        <f t="shared" si="7"/>
        <v>2028</v>
      </c>
    </row>
    <row r="213" spans="1:14" x14ac:dyDescent="0.3">
      <c r="A213" s="3">
        <v>84</v>
      </c>
      <c r="B213" s="4" t="s">
        <v>38</v>
      </c>
      <c r="C213" s="3" t="s">
        <v>16</v>
      </c>
      <c r="D213" s="5">
        <v>47039</v>
      </c>
      <c r="E213" s="5">
        <v>47043</v>
      </c>
      <c r="F213" s="3">
        <v>5</v>
      </c>
      <c r="G213" s="4" t="s">
        <v>27</v>
      </c>
      <c r="H213" s="3" t="s">
        <v>28</v>
      </c>
      <c r="I213" s="6">
        <v>3707</v>
      </c>
      <c r="J213" s="6">
        <f>INDEX([1]Parámetros!$C$4:$C$10,MATCH(G213,[1]Parámetros!$A$4:$A$10,0))</f>
        <v>3000</v>
      </c>
      <c r="K213" s="7">
        <f t="shared" si="6"/>
        <v>1.2356666666666667</v>
      </c>
      <c r="L213" s="3" t="s">
        <v>19</v>
      </c>
      <c r="M213" s="3" t="str">
        <f>IF(L213="Sí","Atraso heredado",IF(K213&lt;[1]Parámetros!$E$13,"Adelantado",IF(K213&lt;=[1]Parámetros!$E$14,"En ventana ±10%","Fuera de ventana")))</f>
        <v>Fuera de ventana</v>
      </c>
      <c r="N213" s="3">
        <f t="shared" si="7"/>
        <v>2028</v>
      </c>
    </row>
    <row r="214" spans="1:14" x14ac:dyDescent="0.3">
      <c r="A214" s="3">
        <v>85</v>
      </c>
      <c r="B214" s="4" t="s">
        <v>35</v>
      </c>
      <c r="C214" s="3" t="s">
        <v>16</v>
      </c>
      <c r="D214" s="5">
        <v>47044</v>
      </c>
      <c r="E214" s="5">
        <v>47048</v>
      </c>
      <c r="F214" s="3">
        <v>5</v>
      </c>
      <c r="G214" s="4" t="s">
        <v>17</v>
      </c>
      <c r="H214" s="3" t="s">
        <v>18</v>
      </c>
      <c r="I214" s="6">
        <v>1497</v>
      </c>
      <c r="J214" s="6">
        <f>INDEX([1]Parámetros!$C$4:$C$10,MATCH(G214,[1]Parámetros!$A$4:$A$10,0))</f>
        <v>1500</v>
      </c>
      <c r="K214" s="7">
        <f t="shared" si="6"/>
        <v>0.998</v>
      </c>
      <c r="L214" s="3" t="s">
        <v>19</v>
      </c>
      <c r="M214" s="3" t="str">
        <f>IF(L214="Sí","Atraso heredado",IF(K214&lt;[1]Parámetros!$E$13,"Adelantado",IF(K214&lt;=[1]Parámetros!$E$14,"En ventana ±10%","Fuera de ventana")))</f>
        <v>En ventana ±10%</v>
      </c>
      <c r="N214" s="3">
        <f t="shared" si="7"/>
        <v>2028</v>
      </c>
    </row>
    <row r="215" spans="1:14" x14ac:dyDescent="0.3">
      <c r="A215" s="3">
        <v>85</v>
      </c>
      <c r="B215" s="4" t="s">
        <v>35</v>
      </c>
      <c r="C215" s="3" t="s">
        <v>16</v>
      </c>
      <c r="D215" s="5">
        <v>47044</v>
      </c>
      <c r="E215" s="5">
        <v>47048</v>
      </c>
      <c r="F215" s="3">
        <v>5</v>
      </c>
      <c r="G215" s="4" t="s">
        <v>27</v>
      </c>
      <c r="H215" s="3" t="s">
        <v>28</v>
      </c>
      <c r="I215" s="6">
        <v>3113</v>
      </c>
      <c r="J215" s="6">
        <f>INDEX([1]Parámetros!$C$4:$C$10,MATCH(G215,[1]Parámetros!$A$4:$A$10,0))</f>
        <v>3000</v>
      </c>
      <c r="K215" s="7">
        <f t="shared" si="6"/>
        <v>1.0376666666666667</v>
      </c>
      <c r="L215" s="3" t="s">
        <v>19</v>
      </c>
      <c r="M215" s="3" t="str">
        <f>IF(L215="Sí","Atraso heredado",IF(K215&lt;[1]Parámetros!$E$13,"Adelantado",IF(K215&lt;=[1]Parámetros!$E$14,"En ventana ±10%","Fuera de ventana")))</f>
        <v>En ventana ±10%</v>
      </c>
      <c r="N215" s="3">
        <f t="shared" si="7"/>
        <v>2028</v>
      </c>
    </row>
    <row r="216" spans="1:14" x14ac:dyDescent="0.3">
      <c r="A216" s="3">
        <v>86</v>
      </c>
      <c r="B216" s="4" t="s">
        <v>42</v>
      </c>
      <c r="C216" s="3" t="s">
        <v>19</v>
      </c>
      <c r="D216" s="5">
        <v>47049</v>
      </c>
      <c r="E216" s="5">
        <v>47071</v>
      </c>
      <c r="F216" s="3">
        <v>23</v>
      </c>
      <c r="G216" s="4" t="s">
        <v>20</v>
      </c>
      <c r="H216" s="3" t="s">
        <v>21</v>
      </c>
      <c r="I216" s="6">
        <v>13090</v>
      </c>
      <c r="J216" s="6">
        <f>INDEX([1]Parámetros!$C$4:$C$10,MATCH(G216,[1]Parámetros!$A$4:$A$10,0))</f>
        <v>12000</v>
      </c>
      <c r="K216" s="7">
        <f t="shared" si="6"/>
        <v>1.0908333333333333</v>
      </c>
      <c r="L216" s="3" t="s">
        <v>19</v>
      </c>
      <c r="M216" s="3" t="str">
        <f>IF(L216="Sí","Atraso heredado",IF(K216&lt;[1]Parámetros!$E$13,"Adelantado",IF(K216&lt;=[1]Parámetros!$E$14,"En ventana ±10%","Fuera de ventana")))</f>
        <v>En ventana ±10%</v>
      </c>
      <c r="N216" s="3">
        <f t="shared" si="7"/>
        <v>2028</v>
      </c>
    </row>
    <row r="217" spans="1:14" x14ac:dyDescent="0.3">
      <c r="A217" s="3">
        <v>86</v>
      </c>
      <c r="B217" s="4" t="s">
        <v>42</v>
      </c>
      <c r="C217" s="3" t="s">
        <v>19</v>
      </c>
      <c r="D217" s="5">
        <v>47049</v>
      </c>
      <c r="E217" s="5">
        <v>47071</v>
      </c>
      <c r="F217" s="3">
        <v>23</v>
      </c>
      <c r="G217" s="4" t="s">
        <v>22</v>
      </c>
      <c r="H217" s="3" t="s">
        <v>23</v>
      </c>
      <c r="I217" s="6">
        <v>13090</v>
      </c>
      <c r="J217" s="6">
        <f>INDEX([1]Parámetros!$C$4:$C$10,MATCH(G217,[1]Parámetros!$A$4:$A$10,0))</f>
        <v>12000</v>
      </c>
      <c r="K217" s="7">
        <f t="shared" si="6"/>
        <v>1.0908333333333333</v>
      </c>
      <c r="L217" s="3" t="s">
        <v>19</v>
      </c>
      <c r="M217" s="3" t="str">
        <f>IF(L217="Sí","Atraso heredado",IF(K217&lt;[1]Parámetros!$E$13,"Adelantado",IF(K217&lt;=[1]Parámetros!$E$14,"En ventana ±10%","Fuera de ventana")))</f>
        <v>En ventana ±10%</v>
      </c>
      <c r="N217" s="3">
        <f t="shared" si="7"/>
        <v>2028</v>
      </c>
    </row>
    <row r="218" spans="1:14" x14ac:dyDescent="0.3">
      <c r="A218" s="3">
        <v>86</v>
      </c>
      <c r="B218" s="4" t="s">
        <v>42</v>
      </c>
      <c r="C218" s="3" t="s">
        <v>19</v>
      </c>
      <c r="D218" s="5">
        <v>47049</v>
      </c>
      <c r="E218" s="5">
        <v>47071</v>
      </c>
      <c r="F218" s="3">
        <v>23</v>
      </c>
      <c r="G218" s="4" t="s">
        <v>33</v>
      </c>
      <c r="H218" s="3" t="s">
        <v>34</v>
      </c>
      <c r="I218" s="6">
        <v>13090</v>
      </c>
      <c r="J218" s="6">
        <f>INDEX([1]Parámetros!$C$4:$C$10,MATCH(G218,[1]Parámetros!$A$4:$A$10,0))</f>
        <v>12000</v>
      </c>
      <c r="K218" s="7">
        <f t="shared" si="6"/>
        <v>1.0908333333333333</v>
      </c>
      <c r="L218" s="3" t="s">
        <v>19</v>
      </c>
      <c r="M218" s="3" t="str">
        <f>IF(L218="Sí","Atraso heredado",IF(K218&lt;[1]Parámetros!$E$13,"Adelantado",IF(K218&lt;=[1]Parámetros!$E$14,"En ventana ±10%","Fuera de ventana")))</f>
        <v>En ventana ±10%</v>
      </c>
      <c r="N218" s="3">
        <f t="shared" si="7"/>
        <v>2028</v>
      </c>
    </row>
    <row r="219" spans="1:14" x14ac:dyDescent="0.3">
      <c r="A219" s="3">
        <v>87</v>
      </c>
      <c r="B219" s="4" t="s">
        <v>43</v>
      </c>
      <c r="C219" s="3" t="s">
        <v>19</v>
      </c>
      <c r="D219" s="5">
        <v>47072</v>
      </c>
      <c r="E219" s="5">
        <v>47094</v>
      </c>
      <c r="F219" s="3">
        <v>23</v>
      </c>
      <c r="G219" s="4" t="s">
        <v>20</v>
      </c>
      <c r="H219" s="3" t="s">
        <v>21</v>
      </c>
      <c r="I219" s="6">
        <v>12701</v>
      </c>
      <c r="J219" s="6">
        <f>INDEX([1]Parámetros!$C$4:$C$10,MATCH(G219,[1]Parámetros!$A$4:$A$10,0))</f>
        <v>12000</v>
      </c>
      <c r="K219" s="7">
        <f t="shared" si="6"/>
        <v>1.0584166666666666</v>
      </c>
      <c r="L219" s="3" t="s">
        <v>19</v>
      </c>
      <c r="M219" s="3" t="str">
        <f>IF(L219="Sí","Atraso heredado",IF(K219&lt;[1]Parámetros!$E$13,"Adelantado",IF(K219&lt;=[1]Parámetros!$E$14,"En ventana ±10%","Fuera de ventana")))</f>
        <v>En ventana ±10%</v>
      </c>
      <c r="N219" s="3">
        <f t="shared" si="7"/>
        <v>2028</v>
      </c>
    </row>
    <row r="220" spans="1:14" x14ac:dyDescent="0.3">
      <c r="A220" s="3">
        <v>87</v>
      </c>
      <c r="B220" s="4" t="s">
        <v>43</v>
      </c>
      <c r="C220" s="3" t="s">
        <v>19</v>
      </c>
      <c r="D220" s="5">
        <v>47072</v>
      </c>
      <c r="E220" s="5">
        <v>47094</v>
      </c>
      <c r="F220" s="3">
        <v>23</v>
      </c>
      <c r="G220" s="4" t="s">
        <v>22</v>
      </c>
      <c r="H220" s="3" t="s">
        <v>23</v>
      </c>
      <c r="I220" s="6">
        <v>12701</v>
      </c>
      <c r="J220" s="6">
        <f>INDEX([1]Parámetros!$C$4:$C$10,MATCH(G220,[1]Parámetros!$A$4:$A$10,0))</f>
        <v>12000</v>
      </c>
      <c r="K220" s="7">
        <f t="shared" si="6"/>
        <v>1.0584166666666666</v>
      </c>
      <c r="L220" s="3" t="s">
        <v>19</v>
      </c>
      <c r="M220" s="3" t="str">
        <f>IF(L220="Sí","Atraso heredado",IF(K220&lt;[1]Parámetros!$E$13,"Adelantado",IF(K220&lt;=[1]Parámetros!$E$14,"En ventana ±10%","Fuera de ventana")))</f>
        <v>En ventana ±10%</v>
      </c>
      <c r="N220" s="3">
        <f t="shared" si="7"/>
        <v>2028</v>
      </c>
    </row>
    <row r="221" spans="1:14" x14ac:dyDescent="0.3">
      <c r="A221" s="3">
        <v>87</v>
      </c>
      <c r="B221" s="4" t="s">
        <v>43</v>
      </c>
      <c r="C221" s="3" t="s">
        <v>19</v>
      </c>
      <c r="D221" s="5">
        <v>47072</v>
      </c>
      <c r="E221" s="5">
        <v>47094</v>
      </c>
      <c r="F221" s="3">
        <v>23</v>
      </c>
      <c r="G221" s="4" t="s">
        <v>33</v>
      </c>
      <c r="H221" s="3" t="s">
        <v>34</v>
      </c>
      <c r="I221" s="6">
        <v>12701</v>
      </c>
      <c r="J221" s="6">
        <f>INDEX([1]Parámetros!$C$4:$C$10,MATCH(G221,[1]Parámetros!$A$4:$A$10,0))</f>
        <v>12000</v>
      </c>
      <c r="K221" s="7">
        <f t="shared" si="6"/>
        <v>1.0584166666666666</v>
      </c>
      <c r="L221" s="3" t="s">
        <v>19</v>
      </c>
      <c r="M221" s="3" t="str">
        <f>IF(L221="Sí","Atraso heredado",IF(K221&lt;[1]Parámetros!$E$13,"Adelantado",IF(K221&lt;=[1]Parámetros!$E$14,"En ventana ±10%","Fuera de ventana")))</f>
        <v>En ventana ±10%</v>
      </c>
      <c r="N221" s="3">
        <f t="shared" si="7"/>
        <v>2028</v>
      </c>
    </row>
    <row r="222" spans="1:14" x14ac:dyDescent="0.3">
      <c r="A222" s="3">
        <v>88</v>
      </c>
      <c r="B222" s="4" t="s">
        <v>29</v>
      </c>
      <c r="C222" s="3" t="s">
        <v>16</v>
      </c>
      <c r="D222" s="5">
        <v>47095</v>
      </c>
      <c r="E222" s="5">
        <v>47096</v>
      </c>
      <c r="F222" s="3">
        <v>2</v>
      </c>
      <c r="G222" s="4" t="s">
        <v>17</v>
      </c>
      <c r="H222" s="3" t="s">
        <v>18</v>
      </c>
      <c r="I222" s="6">
        <v>1616</v>
      </c>
      <c r="J222" s="6">
        <f>INDEX([1]Parámetros!$C$4:$C$10,MATCH(G222,[1]Parámetros!$A$4:$A$10,0))</f>
        <v>1500</v>
      </c>
      <c r="K222" s="7">
        <f t="shared" si="6"/>
        <v>1.0773333333333333</v>
      </c>
      <c r="L222" s="3" t="s">
        <v>19</v>
      </c>
      <c r="M222" s="3" t="str">
        <f>IF(L222="Sí","Atraso heredado",IF(K222&lt;[1]Parámetros!$E$13,"Adelantado",IF(K222&lt;=[1]Parámetros!$E$14,"En ventana ±10%","Fuera de ventana")))</f>
        <v>En ventana ±10%</v>
      </c>
      <c r="N222" s="3">
        <f t="shared" si="7"/>
        <v>2028</v>
      </c>
    </row>
    <row r="223" spans="1:14" x14ac:dyDescent="0.3">
      <c r="A223" s="3">
        <v>89</v>
      </c>
      <c r="B223" s="4" t="s">
        <v>30</v>
      </c>
      <c r="C223" s="3" t="s">
        <v>16</v>
      </c>
      <c r="D223" s="5">
        <v>47097</v>
      </c>
      <c r="E223" s="5">
        <v>47119</v>
      </c>
      <c r="F223" s="3">
        <v>23</v>
      </c>
      <c r="G223" s="4" t="s">
        <v>17</v>
      </c>
      <c r="H223" s="3" t="s">
        <v>18</v>
      </c>
      <c r="I223" s="6">
        <v>2067</v>
      </c>
      <c r="J223" s="6">
        <f>INDEX([1]Parámetros!$C$4:$C$10,MATCH(G223,[1]Parámetros!$A$4:$A$10,0))</f>
        <v>1500</v>
      </c>
      <c r="K223" s="7">
        <f t="shared" si="6"/>
        <v>1.3779999999999999</v>
      </c>
      <c r="L223" s="3" t="s">
        <v>19</v>
      </c>
      <c r="M223" s="3" t="str">
        <f>IF(L223="Sí","Atraso heredado",IF(K223&lt;[1]Parámetros!$E$13,"Adelantado",IF(K223&lt;=[1]Parámetros!$E$14,"En ventana ±10%","Fuera de ventana")))</f>
        <v>Fuera de ventana</v>
      </c>
      <c r="N223" s="3">
        <f t="shared" si="7"/>
        <v>2028</v>
      </c>
    </row>
    <row r="224" spans="1:14" x14ac:dyDescent="0.3">
      <c r="A224" s="3">
        <v>89</v>
      </c>
      <c r="B224" s="4" t="s">
        <v>30</v>
      </c>
      <c r="C224" s="3" t="s">
        <v>16</v>
      </c>
      <c r="D224" s="5">
        <v>47097</v>
      </c>
      <c r="E224" s="5">
        <v>47119</v>
      </c>
      <c r="F224" s="3">
        <v>23</v>
      </c>
      <c r="G224" s="4" t="s">
        <v>20</v>
      </c>
      <c r="H224" s="3" t="s">
        <v>21</v>
      </c>
      <c r="I224" s="6">
        <v>10930</v>
      </c>
      <c r="J224" s="6">
        <f>INDEX([1]Parámetros!$C$4:$C$10,MATCH(G224,[1]Parámetros!$A$4:$A$10,0))</f>
        <v>12000</v>
      </c>
      <c r="K224" s="7">
        <f t="shared" si="6"/>
        <v>0.91083333333333338</v>
      </c>
      <c r="L224" s="3" t="s">
        <v>19</v>
      </c>
      <c r="M224" s="3" t="str">
        <f>IF(L224="Sí","Atraso heredado",IF(K224&lt;[1]Parámetros!$E$13,"Adelantado",IF(K224&lt;=[1]Parámetros!$E$14,"En ventana ±10%","Fuera de ventana")))</f>
        <v>En ventana ±10%</v>
      </c>
      <c r="N224" s="3">
        <f t="shared" si="7"/>
        <v>2028</v>
      </c>
    </row>
    <row r="225" spans="1:14" x14ac:dyDescent="0.3">
      <c r="A225" s="3">
        <v>89</v>
      </c>
      <c r="B225" s="4" t="s">
        <v>30</v>
      </c>
      <c r="C225" s="3" t="s">
        <v>16</v>
      </c>
      <c r="D225" s="5">
        <v>47097</v>
      </c>
      <c r="E225" s="5">
        <v>47119</v>
      </c>
      <c r="F225" s="3">
        <v>23</v>
      </c>
      <c r="G225" s="4" t="s">
        <v>22</v>
      </c>
      <c r="H225" s="3" t="s">
        <v>23</v>
      </c>
      <c r="I225" s="6">
        <v>10930</v>
      </c>
      <c r="J225" s="6">
        <f>INDEX([1]Parámetros!$C$4:$C$10,MATCH(G225,[1]Parámetros!$A$4:$A$10,0))</f>
        <v>12000</v>
      </c>
      <c r="K225" s="7">
        <f t="shared" si="6"/>
        <v>0.91083333333333338</v>
      </c>
      <c r="L225" s="3" t="s">
        <v>19</v>
      </c>
      <c r="M225" s="3" t="str">
        <f>IF(L225="Sí","Atraso heredado",IF(K225&lt;[1]Parámetros!$E$13,"Adelantado",IF(K225&lt;=[1]Parámetros!$E$14,"En ventana ±10%","Fuera de ventana")))</f>
        <v>En ventana ±10%</v>
      </c>
      <c r="N225" s="3">
        <f t="shared" si="7"/>
        <v>2028</v>
      </c>
    </row>
    <row r="226" spans="1:14" x14ac:dyDescent="0.3">
      <c r="A226" s="3">
        <v>89</v>
      </c>
      <c r="B226" s="4" t="s">
        <v>30</v>
      </c>
      <c r="C226" s="3" t="s">
        <v>16</v>
      </c>
      <c r="D226" s="5">
        <v>47097</v>
      </c>
      <c r="E226" s="5">
        <v>47119</v>
      </c>
      <c r="F226" s="3">
        <v>23</v>
      </c>
      <c r="G226" s="4" t="s">
        <v>24</v>
      </c>
      <c r="H226" s="3" t="s">
        <v>25</v>
      </c>
      <c r="I226" s="6">
        <v>19079</v>
      </c>
      <c r="J226" s="6">
        <f>INDEX([1]Parámetros!$C$4:$C$10,MATCH(G226,[1]Parámetros!$A$4:$A$10,0))</f>
        <v>24000</v>
      </c>
      <c r="K226" s="7">
        <f t="shared" si="6"/>
        <v>0.79495833333333332</v>
      </c>
      <c r="L226" s="3" t="s">
        <v>19</v>
      </c>
      <c r="M226" s="3" t="str">
        <f>IF(L226="Sí","Atraso heredado",IF(K226&lt;[1]Parámetros!$E$13,"Adelantado",IF(K226&lt;=[1]Parámetros!$E$14,"En ventana ±10%","Fuera de ventana")))</f>
        <v>Adelantado</v>
      </c>
      <c r="N226" s="3">
        <f t="shared" si="7"/>
        <v>2028</v>
      </c>
    </row>
    <row r="227" spans="1:14" x14ac:dyDescent="0.3">
      <c r="A227" s="3">
        <v>89</v>
      </c>
      <c r="B227" s="4" t="s">
        <v>30</v>
      </c>
      <c r="C227" s="3" t="s">
        <v>16</v>
      </c>
      <c r="D227" s="5">
        <v>47097</v>
      </c>
      <c r="E227" s="5">
        <v>47119</v>
      </c>
      <c r="F227" s="3">
        <v>23</v>
      </c>
      <c r="G227" s="4" t="s">
        <v>27</v>
      </c>
      <c r="H227" s="3" t="s">
        <v>28</v>
      </c>
      <c r="I227" s="6">
        <v>3612</v>
      </c>
      <c r="J227" s="6">
        <f>INDEX([1]Parámetros!$C$4:$C$10,MATCH(G227,[1]Parámetros!$A$4:$A$10,0))</f>
        <v>3000</v>
      </c>
      <c r="K227" s="7">
        <f t="shared" si="6"/>
        <v>1.204</v>
      </c>
      <c r="L227" s="3" t="s">
        <v>19</v>
      </c>
      <c r="M227" s="3" t="str">
        <f>IF(L227="Sí","Atraso heredado",IF(K227&lt;[1]Parámetros!$E$13,"Adelantado",IF(K227&lt;=[1]Parámetros!$E$14,"En ventana ±10%","Fuera de ventana")))</f>
        <v>Fuera de ventana</v>
      </c>
      <c r="N227" s="3">
        <f t="shared" si="7"/>
        <v>2028</v>
      </c>
    </row>
    <row r="228" spans="1:14" x14ac:dyDescent="0.3">
      <c r="A228" s="3">
        <v>90</v>
      </c>
      <c r="B228" s="4" t="s">
        <v>35</v>
      </c>
      <c r="C228" s="3" t="s">
        <v>16</v>
      </c>
      <c r="D228" s="5">
        <v>47120</v>
      </c>
      <c r="E228" s="5">
        <v>47121</v>
      </c>
      <c r="F228" s="3">
        <v>2</v>
      </c>
      <c r="G228" s="4" t="s">
        <v>17</v>
      </c>
      <c r="H228" s="3" t="s">
        <v>18</v>
      </c>
      <c r="I228" s="6">
        <v>1687</v>
      </c>
      <c r="J228" s="6">
        <f>INDEX([1]Parámetros!$C$4:$C$10,MATCH(G228,[1]Parámetros!$A$4:$A$10,0))</f>
        <v>1500</v>
      </c>
      <c r="K228" s="7">
        <f t="shared" si="6"/>
        <v>1.1246666666666667</v>
      </c>
      <c r="L228" s="3" t="s">
        <v>19</v>
      </c>
      <c r="M228" s="3" t="str">
        <f>IF(L228="Sí","Atraso heredado",IF(K228&lt;[1]Parámetros!$E$13,"Adelantado",IF(K228&lt;=[1]Parámetros!$E$14,"En ventana ±10%","Fuera de ventana")))</f>
        <v>Fuera de ventana</v>
      </c>
      <c r="N228" s="3">
        <f t="shared" si="7"/>
        <v>2029</v>
      </c>
    </row>
    <row r="229" spans="1:14" x14ac:dyDescent="0.3">
      <c r="A229" s="3">
        <v>91</v>
      </c>
      <c r="B229" s="4" t="s">
        <v>40</v>
      </c>
      <c r="C229" s="3" t="s">
        <v>19</v>
      </c>
      <c r="D229" s="5">
        <v>47122</v>
      </c>
      <c r="E229" s="5">
        <v>47125</v>
      </c>
      <c r="F229" s="3">
        <v>4</v>
      </c>
      <c r="G229" s="4" t="s">
        <v>27</v>
      </c>
      <c r="H229" s="3" t="s">
        <v>28</v>
      </c>
      <c r="I229" s="6">
        <v>3089</v>
      </c>
      <c r="J229" s="6">
        <f>INDEX([1]Parámetros!$C$4:$C$10,MATCH(G229,[1]Parámetros!$A$4:$A$10,0))</f>
        <v>3000</v>
      </c>
      <c r="K229" s="7">
        <f t="shared" si="6"/>
        <v>1.0296666666666667</v>
      </c>
      <c r="L229" s="3" t="s">
        <v>19</v>
      </c>
      <c r="M229" s="3" t="str">
        <f>IF(L229="Sí","Atraso heredado",IF(K229&lt;[1]Parámetros!$E$13,"Adelantado",IF(K229&lt;=[1]Parámetros!$E$14,"En ventana ±10%","Fuera de ventana")))</f>
        <v>En ventana ±10%</v>
      </c>
      <c r="N229" s="3">
        <f t="shared" si="7"/>
        <v>2029</v>
      </c>
    </row>
    <row r="230" spans="1:14" x14ac:dyDescent="0.3">
      <c r="A230" s="3">
        <v>92</v>
      </c>
      <c r="B230" s="4" t="s">
        <v>45</v>
      </c>
      <c r="C230" s="3" t="s">
        <v>19</v>
      </c>
      <c r="D230" s="5">
        <v>47126</v>
      </c>
      <c r="E230" s="5">
        <v>47148</v>
      </c>
      <c r="F230" s="3">
        <v>23</v>
      </c>
      <c r="G230" s="4" t="s">
        <v>20</v>
      </c>
      <c r="H230" s="3" t="s">
        <v>21</v>
      </c>
      <c r="I230" s="6">
        <v>12550</v>
      </c>
      <c r="J230" s="6">
        <f>INDEX([1]Parámetros!$C$4:$C$10,MATCH(G230,[1]Parámetros!$A$4:$A$10,0))</f>
        <v>12000</v>
      </c>
      <c r="K230" s="7">
        <f t="shared" si="6"/>
        <v>1.0458333333333334</v>
      </c>
      <c r="L230" s="3" t="s">
        <v>19</v>
      </c>
      <c r="M230" s="3" t="str">
        <f>IF(L230="Sí","Atraso heredado",IF(K230&lt;[1]Parámetros!$E$13,"Adelantado",IF(K230&lt;=[1]Parámetros!$E$14,"En ventana ±10%","Fuera de ventana")))</f>
        <v>En ventana ±10%</v>
      </c>
      <c r="N230" s="3">
        <f t="shared" si="7"/>
        <v>2029</v>
      </c>
    </row>
    <row r="231" spans="1:14" x14ac:dyDescent="0.3">
      <c r="A231" s="3">
        <v>92</v>
      </c>
      <c r="B231" s="4" t="s">
        <v>45</v>
      </c>
      <c r="C231" s="3" t="s">
        <v>19</v>
      </c>
      <c r="D231" s="5">
        <v>47126</v>
      </c>
      <c r="E231" s="5">
        <v>47148</v>
      </c>
      <c r="F231" s="3">
        <v>23</v>
      </c>
      <c r="G231" s="4" t="s">
        <v>22</v>
      </c>
      <c r="H231" s="3" t="s">
        <v>23</v>
      </c>
      <c r="I231" s="6">
        <v>12550</v>
      </c>
      <c r="J231" s="6">
        <f>INDEX([1]Parámetros!$C$4:$C$10,MATCH(G231,[1]Parámetros!$A$4:$A$10,0))</f>
        <v>12000</v>
      </c>
      <c r="K231" s="7">
        <f t="shared" si="6"/>
        <v>1.0458333333333334</v>
      </c>
      <c r="L231" s="3" t="s">
        <v>19</v>
      </c>
      <c r="M231" s="3" t="str">
        <f>IF(L231="Sí","Atraso heredado",IF(K231&lt;[1]Parámetros!$E$13,"Adelantado",IF(K231&lt;=[1]Parámetros!$E$14,"En ventana ±10%","Fuera de ventana")))</f>
        <v>En ventana ±10%</v>
      </c>
      <c r="N231" s="3">
        <f t="shared" si="7"/>
        <v>2029</v>
      </c>
    </row>
    <row r="232" spans="1:14" x14ac:dyDescent="0.3">
      <c r="A232" s="3">
        <v>92</v>
      </c>
      <c r="B232" s="4" t="s">
        <v>45</v>
      </c>
      <c r="C232" s="3" t="s">
        <v>19</v>
      </c>
      <c r="D232" s="5">
        <v>47126</v>
      </c>
      <c r="E232" s="5">
        <v>47148</v>
      </c>
      <c r="F232" s="3">
        <v>23</v>
      </c>
      <c r="G232" s="4" t="s">
        <v>33</v>
      </c>
      <c r="H232" s="3" t="s">
        <v>34</v>
      </c>
      <c r="I232" s="6">
        <v>12550</v>
      </c>
      <c r="J232" s="6">
        <f>INDEX([1]Parámetros!$C$4:$C$10,MATCH(G232,[1]Parámetros!$A$4:$A$10,0))</f>
        <v>12000</v>
      </c>
      <c r="K232" s="7">
        <f t="shared" si="6"/>
        <v>1.0458333333333334</v>
      </c>
      <c r="L232" s="3" t="s">
        <v>19</v>
      </c>
      <c r="M232" s="3" t="str">
        <f>IF(L232="Sí","Atraso heredado",IF(K232&lt;[1]Parámetros!$E$13,"Adelantado",IF(K232&lt;=[1]Parámetros!$E$14,"En ventana ±10%","Fuera de ventana")))</f>
        <v>En ventana ±10%</v>
      </c>
      <c r="N232" s="3">
        <f t="shared" si="7"/>
        <v>2029</v>
      </c>
    </row>
    <row r="233" spans="1:14" x14ac:dyDescent="0.3">
      <c r="A233" s="3">
        <v>92</v>
      </c>
      <c r="B233" s="4" t="s">
        <v>45</v>
      </c>
      <c r="C233" s="3" t="s">
        <v>19</v>
      </c>
      <c r="D233" s="5">
        <v>47126</v>
      </c>
      <c r="E233" s="5">
        <v>47148</v>
      </c>
      <c r="F233" s="3">
        <v>23</v>
      </c>
      <c r="G233" s="4" t="s">
        <v>24</v>
      </c>
      <c r="H233" s="3" t="s">
        <v>25</v>
      </c>
      <c r="I233" s="6">
        <v>19251</v>
      </c>
      <c r="J233" s="6">
        <f>INDEX([1]Parámetros!$C$4:$C$10,MATCH(G233,[1]Parámetros!$A$4:$A$10,0))</f>
        <v>24000</v>
      </c>
      <c r="K233" s="7">
        <f t="shared" si="6"/>
        <v>0.80212499999999998</v>
      </c>
      <c r="L233" s="3" t="s">
        <v>19</v>
      </c>
      <c r="M233" s="3" t="str">
        <f>IF(L233="Sí","Atraso heredado",IF(K233&lt;[1]Parámetros!$E$13,"Adelantado",IF(K233&lt;=[1]Parámetros!$E$14,"En ventana ±10%","Fuera de ventana")))</f>
        <v>Adelantado</v>
      </c>
      <c r="N233" s="3">
        <f t="shared" si="7"/>
        <v>2029</v>
      </c>
    </row>
    <row r="234" spans="1:14" x14ac:dyDescent="0.3">
      <c r="A234" s="3">
        <v>92</v>
      </c>
      <c r="B234" s="4" t="s">
        <v>45</v>
      </c>
      <c r="C234" s="3" t="s">
        <v>19</v>
      </c>
      <c r="D234" s="5">
        <v>47126</v>
      </c>
      <c r="E234" s="5">
        <v>47148</v>
      </c>
      <c r="F234" s="3">
        <v>23</v>
      </c>
      <c r="G234" s="4" t="s">
        <v>27</v>
      </c>
      <c r="H234" s="3" t="s">
        <v>28</v>
      </c>
      <c r="I234" s="6">
        <v>4277</v>
      </c>
      <c r="J234" s="6">
        <f>INDEX([1]Parámetros!$C$4:$C$10,MATCH(G234,[1]Parámetros!$A$4:$A$10,0))</f>
        <v>3000</v>
      </c>
      <c r="K234" s="7">
        <f t="shared" si="6"/>
        <v>1.4256666666666666</v>
      </c>
      <c r="L234" s="3" t="s">
        <v>19</v>
      </c>
      <c r="M234" s="3" t="str">
        <f>IF(L234="Sí","Atraso heredado",IF(K234&lt;[1]Parámetros!$E$13,"Adelantado",IF(K234&lt;=[1]Parámetros!$E$14,"En ventana ±10%","Fuera de ventana")))</f>
        <v>Fuera de ventana</v>
      </c>
      <c r="N234" s="3">
        <f t="shared" si="7"/>
        <v>2029</v>
      </c>
    </row>
    <row r="235" spans="1:14" x14ac:dyDescent="0.3">
      <c r="A235" s="3">
        <v>93</v>
      </c>
      <c r="B235" s="4" t="s">
        <v>41</v>
      </c>
      <c r="C235" s="3" t="s">
        <v>19</v>
      </c>
      <c r="D235" s="5">
        <v>47149</v>
      </c>
      <c r="E235" s="5">
        <v>47152</v>
      </c>
      <c r="F235" s="3">
        <v>4</v>
      </c>
      <c r="G235" s="4" t="s">
        <v>27</v>
      </c>
      <c r="H235" s="3" t="s">
        <v>28</v>
      </c>
      <c r="I235" s="6">
        <v>3132</v>
      </c>
      <c r="J235" s="6">
        <f>INDEX([1]Parámetros!$C$4:$C$10,MATCH(G235,[1]Parámetros!$A$4:$A$10,0))</f>
        <v>3000</v>
      </c>
      <c r="K235" s="7">
        <f t="shared" si="6"/>
        <v>1.044</v>
      </c>
      <c r="L235" s="3" t="s">
        <v>19</v>
      </c>
      <c r="M235" s="3" t="str">
        <f>IF(L235="Sí","Atraso heredado",IF(K235&lt;[1]Parámetros!$E$13,"Adelantado",IF(K235&lt;=[1]Parámetros!$E$14,"En ventana ±10%","Fuera de ventana")))</f>
        <v>En ventana ±10%</v>
      </c>
      <c r="N235" s="3">
        <f t="shared" si="7"/>
        <v>2029</v>
      </c>
    </row>
    <row r="236" spans="1:14" x14ac:dyDescent="0.3">
      <c r="A236" s="3">
        <v>94</v>
      </c>
      <c r="B236" s="4" t="s">
        <v>15</v>
      </c>
      <c r="C236" s="3" t="s">
        <v>16</v>
      </c>
      <c r="D236" s="5">
        <v>47153</v>
      </c>
      <c r="E236" s="5">
        <v>47164</v>
      </c>
      <c r="F236" s="3">
        <v>12</v>
      </c>
      <c r="G236" s="4" t="s">
        <v>17</v>
      </c>
      <c r="H236" s="3" t="s">
        <v>18</v>
      </c>
      <c r="I236" s="6">
        <v>3279</v>
      </c>
      <c r="J236" s="6">
        <f>INDEX([1]Parámetros!$C$4:$C$10,MATCH(G236,[1]Parámetros!$A$4:$A$10,0))</f>
        <v>1500</v>
      </c>
      <c r="K236" s="7">
        <f t="shared" si="6"/>
        <v>2.1859999999999999</v>
      </c>
      <c r="L236" s="3" t="s">
        <v>19</v>
      </c>
      <c r="M236" s="3" t="str">
        <f>IF(L236="Sí","Atraso heredado",IF(K236&lt;[1]Parámetros!$E$13,"Adelantado",IF(K236&lt;=[1]Parámetros!$E$14,"En ventana ±10%","Fuera de ventana")))</f>
        <v>Fuera de ventana</v>
      </c>
      <c r="N236" s="3">
        <f t="shared" si="7"/>
        <v>2029</v>
      </c>
    </row>
    <row r="237" spans="1:14" x14ac:dyDescent="0.3">
      <c r="A237" s="3">
        <v>94</v>
      </c>
      <c r="B237" s="4" t="s">
        <v>15</v>
      </c>
      <c r="C237" s="3" t="s">
        <v>16</v>
      </c>
      <c r="D237" s="5">
        <v>47153</v>
      </c>
      <c r="E237" s="5">
        <v>47164</v>
      </c>
      <c r="F237" s="3">
        <v>12</v>
      </c>
      <c r="G237" s="4" t="s">
        <v>31</v>
      </c>
      <c r="H237" s="3" t="s">
        <v>32</v>
      </c>
      <c r="I237" s="6">
        <v>7651</v>
      </c>
      <c r="J237" s="6">
        <f>INDEX([1]Parámetros!$C$4:$C$10,MATCH(G237,[1]Parámetros!$A$4:$A$10,0))</f>
        <v>6000</v>
      </c>
      <c r="K237" s="7">
        <f t="shared" si="6"/>
        <v>1.2751666666666666</v>
      </c>
      <c r="L237" s="3" t="s">
        <v>19</v>
      </c>
      <c r="M237" s="3" t="str">
        <f>IF(L237="Sí","Atraso heredado",IF(K237&lt;[1]Parámetros!$E$13,"Adelantado",IF(K237&lt;=[1]Parámetros!$E$14,"En ventana ±10%","Fuera de ventana")))</f>
        <v>Fuera de ventana</v>
      </c>
      <c r="N237" s="3">
        <f t="shared" si="7"/>
        <v>2029</v>
      </c>
    </row>
    <row r="238" spans="1:14" x14ac:dyDescent="0.3">
      <c r="A238" s="3">
        <v>94</v>
      </c>
      <c r="B238" s="4" t="s">
        <v>15</v>
      </c>
      <c r="C238" s="3" t="s">
        <v>16</v>
      </c>
      <c r="D238" s="5">
        <v>47153</v>
      </c>
      <c r="E238" s="5">
        <v>47164</v>
      </c>
      <c r="F238" s="3">
        <v>12</v>
      </c>
      <c r="G238" s="4" t="s">
        <v>33</v>
      </c>
      <c r="H238" s="3" t="s">
        <v>34</v>
      </c>
      <c r="I238" s="6">
        <v>11737</v>
      </c>
      <c r="J238" s="6">
        <f>INDEX([1]Parámetros!$C$4:$C$10,MATCH(G238,[1]Parámetros!$A$4:$A$10,0))</f>
        <v>12000</v>
      </c>
      <c r="K238" s="7">
        <f t="shared" si="6"/>
        <v>0.9780833333333333</v>
      </c>
      <c r="L238" s="3" t="s">
        <v>19</v>
      </c>
      <c r="M238" s="3" t="str">
        <f>IF(L238="Sí","Atraso heredado",IF(K238&lt;[1]Parámetros!$E$13,"Adelantado",IF(K238&lt;=[1]Parámetros!$E$14,"En ventana ±10%","Fuera de ventana")))</f>
        <v>En ventana ±10%</v>
      </c>
      <c r="N238" s="3">
        <f t="shared" si="7"/>
        <v>2029</v>
      </c>
    </row>
    <row r="239" spans="1:14" x14ac:dyDescent="0.3">
      <c r="A239" s="3">
        <v>95</v>
      </c>
      <c r="B239" s="4" t="s">
        <v>46</v>
      </c>
      <c r="C239" s="3" t="s">
        <v>19</v>
      </c>
      <c r="D239" s="5">
        <v>47165</v>
      </c>
      <c r="E239" s="5">
        <v>47187</v>
      </c>
      <c r="F239" s="3">
        <v>23</v>
      </c>
      <c r="G239" s="4" t="s">
        <v>20</v>
      </c>
      <c r="H239" s="3" t="s">
        <v>21</v>
      </c>
      <c r="I239" s="6">
        <v>12809</v>
      </c>
      <c r="J239" s="6">
        <f>INDEX([1]Parámetros!$C$4:$C$10,MATCH(G239,[1]Parámetros!$A$4:$A$10,0))</f>
        <v>12000</v>
      </c>
      <c r="K239" s="7">
        <f t="shared" si="6"/>
        <v>1.0674166666666667</v>
      </c>
      <c r="L239" s="3" t="s">
        <v>19</v>
      </c>
      <c r="M239" s="3" t="str">
        <f>IF(L239="Sí","Atraso heredado",IF(K239&lt;[1]Parámetros!$E$13,"Adelantado",IF(K239&lt;=[1]Parámetros!$E$14,"En ventana ±10%","Fuera de ventana")))</f>
        <v>En ventana ±10%</v>
      </c>
      <c r="N239" s="3">
        <f t="shared" si="7"/>
        <v>2029</v>
      </c>
    </row>
    <row r="240" spans="1:14" x14ac:dyDescent="0.3">
      <c r="A240" s="3">
        <v>95</v>
      </c>
      <c r="B240" s="4" t="s">
        <v>46</v>
      </c>
      <c r="C240" s="3" t="s">
        <v>19</v>
      </c>
      <c r="D240" s="5">
        <v>47165</v>
      </c>
      <c r="E240" s="5">
        <v>47187</v>
      </c>
      <c r="F240" s="3">
        <v>23</v>
      </c>
      <c r="G240" s="4" t="s">
        <v>22</v>
      </c>
      <c r="H240" s="3" t="s">
        <v>23</v>
      </c>
      <c r="I240" s="6">
        <v>12809</v>
      </c>
      <c r="J240" s="6">
        <f>INDEX([1]Parámetros!$C$4:$C$10,MATCH(G240,[1]Parámetros!$A$4:$A$10,0))</f>
        <v>12000</v>
      </c>
      <c r="K240" s="7">
        <f t="shared" si="6"/>
        <v>1.0674166666666667</v>
      </c>
      <c r="L240" s="3" t="s">
        <v>19</v>
      </c>
      <c r="M240" s="3" t="str">
        <f>IF(L240="Sí","Atraso heredado",IF(K240&lt;[1]Parámetros!$E$13,"Adelantado",IF(K240&lt;=[1]Parámetros!$E$14,"En ventana ±10%","Fuera de ventana")))</f>
        <v>En ventana ±10%</v>
      </c>
      <c r="N240" s="3">
        <f t="shared" si="7"/>
        <v>2029</v>
      </c>
    </row>
    <row r="241" spans="1:14" x14ac:dyDescent="0.3">
      <c r="A241" s="3">
        <v>95</v>
      </c>
      <c r="B241" s="4" t="s">
        <v>46</v>
      </c>
      <c r="C241" s="3" t="s">
        <v>19</v>
      </c>
      <c r="D241" s="5">
        <v>47165</v>
      </c>
      <c r="E241" s="5">
        <v>47187</v>
      </c>
      <c r="F241" s="3">
        <v>23</v>
      </c>
      <c r="G241" s="4" t="s">
        <v>33</v>
      </c>
      <c r="H241" s="3" t="s">
        <v>34</v>
      </c>
      <c r="I241" s="6">
        <v>12809</v>
      </c>
      <c r="J241" s="6">
        <f>INDEX([1]Parámetros!$C$4:$C$10,MATCH(G241,[1]Parámetros!$A$4:$A$10,0))</f>
        <v>12000</v>
      </c>
      <c r="K241" s="7">
        <f t="shared" si="6"/>
        <v>1.0674166666666667</v>
      </c>
      <c r="L241" s="3" t="s">
        <v>19</v>
      </c>
      <c r="M241" s="3" t="str">
        <f>IF(L241="Sí","Atraso heredado",IF(K241&lt;[1]Parámetros!$E$13,"Adelantado",IF(K241&lt;=[1]Parámetros!$E$14,"En ventana ±10%","Fuera de ventana")))</f>
        <v>En ventana ±10%</v>
      </c>
      <c r="N241" s="3">
        <f t="shared" si="7"/>
        <v>2029</v>
      </c>
    </row>
    <row r="242" spans="1:14" x14ac:dyDescent="0.3">
      <c r="A242" s="3">
        <v>95</v>
      </c>
      <c r="B242" s="4" t="s">
        <v>46</v>
      </c>
      <c r="C242" s="3" t="s">
        <v>19</v>
      </c>
      <c r="D242" s="5">
        <v>47165</v>
      </c>
      <c r="E242" s="5">
        <v>47187</v>
      </c>
      <c r="F242" s="3">
        <v>23</v>
      </c>
      <c r="G242" s="4" t="s">
        <v>24</v>
      </c>
      <c r="H242" s="3" t="s">
        <v>25</v>
      </c>
      <c r="I242" s="6">
        <v>20023</v>
      </c>
      <c r="J242" s="6">
        <f>INDEX([1]Parámetros!$C$4:$C$10,MATCH(G242,[1]Parámetros!$A$4:$A$10,0))</f>
        <v>24000</v>
      </c>
      <c r="K242" s="7">
        <f t="shared" si="6"/>
        <v>0.83429166666666665</v>
      </c>
      <c r="L242" s="3" t="s">
        <v>19</v>
      </c>
      <c r="M242" s="3" t="str">
        <f>IF(L242="Sí","Atraso heredado",IF(K242&lt;[1]Parámetros!$E$13,"Adelantado",IF(K242&lt;=[1]Parámetros!$E$14,"En ventana ±10%","Fuera de ventana")))</f>
        <v>Adelantado</v>
      </c>
      <c r="N242" s="3">
        <f t="shared" si="7"/>
        <v>2029</v>
      </c>
    </row>
    <row r="243" spans="1:14" x14ac:dyDescent="0.3">
      <c r="A243" s="3">
        <v>95</v>
      </c>
      <c r="B243" s="4" t="s">
        <v>46</v>
      </c>
      <c r="C243" s="3" t="s">
        <v>19</v>
      </c>
      <c r="D243" s="5">
        <v>47165</v>
      </c>
      <c r="E243" s="5">
        <v>47187</v>
      </c>
      <c r="F243" s="3">
        <v>23</v>
      </c>
      <c r="G243" s="4" t="s">
        <v>27</v>
      </c>
      <c r="H243" s="3" t="s">
        <v>28</v>
      </c>
      <c r="I243" s="6">
        <v>4968</v>
      </c>
      <c r="J243" s="6">
        <f>INDEX([1]Parámetros!$C$4:$C$10,MATCH(G243,[1]Parámetros!$A$4:$A$10,0))</f>
        <v>3000</v>
      </c>
      <c r="K243" s="7">
        <f t="shared" si="6"/>
        <v>1.6559999999999999</v>
      </c>
      <c r="L243" s="3" t="s">
        <v>19</v>
      </c>
      <c r="M243" s="3" t="str">
        <f>IF(L243="Sí","Atraso heredado",IF(K243&lt;[1]Parámetros!$E$13,"Adelantado",IF(K243&lt;=[1]Parámetros!$E$14,"En ventana ±10%","Fuera de ventana")))</f>
        <v>Fuera de ventana</v>
      </c>
      <c r="N243" s="3">
        <f t="shared" si="7"/>
        <v>2029</v>
      </c>
    </row>
    <row r="244" spans="1:14" x14ac:dyDescent="0.3">
      <c r="A244" s="3">
        <v>96</v>
      </c>
      <c r="B244" s="4" t="s">
        <v>30</v>
      </c>
      <c r="C244" s="3" t="s">
        <v>16</v>
      </c>
      <c r="D244" s="5">
        <v>47188</v>
      </c>
      <c r="E244" s="5">
        <v>47189</v>
      </c>
      <c r="F244" s="3">
        <v>2</v>
      </c>
      <c r="G244" s="4" t="s">
        <v>17</v>
      </c>
      <c r="H244" s="3" t="s">
        <v>18</v>
      </c>
      <c r="I244" s="6">
        <v>1616</v>
      </c>
      <c r="J244" s="6">
        <f>INDEX([1]Parámetros!$C$4:$C$10,MATCH(G244,[1]Parámetros!$A$4:$A$10,0))</f>
        <v>1500</v>
      </c>
      <c r="K244" s="7">
        <f t="shared" si="6"/>
        <v>1.0773333333333333</v>
      </c>
      <c r="L244" s="3" t="s">
        <v>19</v>
      </c>
      <c r="M244" s="3" t="str">
        <f>IF(L244="Sí","Atraso heredado",IF(K244&lt;[1]Parámetros!$E$13,"Adelantado",IF(K244&lt;=[1]Parámetros!$E$14,"En ventana ±10%","Fuera de ventana")))</f>
        <v>En ventana ±10%</v>
      </c>
      <c r="N244" s="3">
        <f t="shared" si="7"/>
        <v>2029</v>
      </c>
    </row>
    <row r="245" spans="1:14" x14ac:dyDescent="0.3">
      <c r="A245" s="3">
        <v>97</v>
      </c>
      <c r="B245" s="4" t="s">
        <v>42</v>
      </c>
      <c r="C245" s="3" t="s">
        <v>19</v>
      </c>
      <c r="D245" s="5">
        <v>47190</v>
      </c>
      <c r="E245" s="5">
        <v>47193</v>
      </c>
      <c r="F245" s="3">
        <v>4</v>
      </c>
      <c r="G245" s="4" t="s">
        <v>27</v>
      </c>
      <c r="H245" s="3" t="s">
        <v>28</v>
      </c>
      <c r="I245" s="6">
        <v>2549</v>
      </c>
      <c r="J245" s="6">
        <f>INDEX([1]Parámetros!$C$4:$C$10,MATCH(G245,[1]Parámetros!$A$4:$A$10,0))</f>
        <v>3000</v>
      </c>
      <c r="K245" s="7">
        <f t="shared" si="6"/>
        <v>0.84966666666666668</v>
      </c>
      <c r="L245" s="3" t="s">
        <v>19</v>
      </c>
      <c r="M245" s="3" t="str">
        <f>IF(L245="Sí","Atraso heredado",IF(K245&lt;[1]Parámetros!$E$13,"Adelantado",IF(K245&lt;=[1]Parámetros!$E$14,"En ventana ±10%","Fuera de ventana")))</f>
        <v>Adelantado</v>
      </c>
      <c r="N245" s="3">
        <f t="shared" si="7"/>
        <v>2029</v>
      </c>
    </row>
    <row r="246" spans="1:14" x14ac:dyDescent="0.3">
      <c r="A246" s="3">
        <v>98</v>
      </c>
      <c r="B246" s="4" t="s">
        <v>39</v>
      </c>
      <c r="C246" s="3" t="s">
        <v>19</v>
      </c>
      <c r="D246" s="5">
        <v>47194</v>
      </c>
      <c r="E246" s="5">
        <v>47200</v>
      </c>
      <c r="F246" s="3">
        <v>7</v>
      </c>
      <c r="G246" s="4" t="s">
        <v>31</v>
      </c>
      <c r="H246" s="3" t="s">
        <v>32</v>
      </c>
      <c r="I246" s="6">
        <v>8618</v>
      </c>
      <c r="J246" s="6">
        <f>INDEX([1]Parámetros!$C$4:$C$10,MATCH(G246,[1]Parámetros!$A$4:$A$10,0))</f>
        <v>6000</v>
      </c>
      <c r="K246" s="7">
        <f t="shared" si="6"/>
        <v>1.4363333333333332</v>
      </c>
      <c r="L246" s="3" t="s">
        <v>19</v>
      </c>
      <c r="M246" s="3" t="str">
        <f>IF(L246="Sí","Atraso heredado",IF(K246&lt;[1]Parámetros!$E$13,"Adelantado",IF(K246&lt;=[1]Parámetros!$E$14,"En ventana ±10%","Fuera de ventana")))</f>
        <v>Fuera de ventana</v>
      </c>
      <c r="N246" s="3">
        <f t="shared" si="7"/>
        <v>2029</v>
      </c>
    </row>
    <row r="247" spans="1:14" x14ac:dyDescent="0.3">
      <c r="A247" s="3">
        <v>98</v>
      </c>
      <c r="B247" s="4" t="s">
        <v>39</v>
      </c>
      <c r="C247" s="3" t="s">
        <v>19</v>
      </c>
      <c r="D247" s="5">
        <v>47194</v>
      </c>
      <c r="E247" s="5">
        <v>47200</v>
      </c>
      <c r="F247" s="3">
        <v>7</v>
      </c>
      <c r="G247" s="4" t="s">
        <v>27</v>
      </c>
      <c r="H247" s="3" t="s">
        <v>28</v>
      </c>
      <c r="I247" s="6">
        <v>5335</v>
      </c>
      <c r="J247" s="6">
        <f>INDEX([1]Parámetros!$C$4:$C$10,MATCH(G247,[1]Parámetros!$A$4:$A$10,0))</f>
        <v>3000</v>
      </c>
      <c r="K247" s="7">
        <f t="shared" si="6"/>
        <v>1.7783333333333333</v>
      </c>
      <c r="L247" s="3" t="s">
        <v>19</v>
      </c>
      <c r="M247" s="3" t="str">
        <f>IF(L247="Sí","Atraso heredado",IF(K247&lt;[1]Parámetros!$E$13,"Adelantado",IF(K247&lt;=[1]Parámetros!$E$14,"En ventana ±10%","Fuera de ventana")))</f>
        <v>Fuera de ventana</v>
      </c>
      <c r="N247" s="3">
        <f t="shared" si="7"/>
        <v>2029</v>
      </c>
    </row>
    <row r="248" spans="1:14" x14ac:dyDescent="0.3">
      <c r="A248" s="3">
        <v>99</v>
      </c>
      <c r="B248" s="4" t="s">
        <v>26</v>
      </c>
      <c r="C248" s="3" t="s">
        <v>19</v>
      </c>
      <c r="D248" s="5">
        <v>47201</v>
      </c>
      <c r="E248" s="5">
        <v>47223</v>
      </c>
      <c r="F248" s="3">
        <v>23</v>
      </c>
      <c r="G248" s="4" t="s">
        <v>20</v>
      </c>
      <c r="H248" s="3" t="s">
        <v>21</v>
      </c>
      <c r="I248" s="6">
        <v>13003</v>
      </c>
      <c r="J248" s="6">
        <f>INDEX([1]Parámetros!$C$4:$C$10,MATCH(G248,[1]Parámetros!$A$4:$A$10,0))</f>
        <v>12000</v>
      </c>
      <c r="K248" s="7">
        <f t="shared" si="6"/>
        <v>1.0835833333333333</v>
      </c>
      <c r="L248" s="3" t="s">
        <v>19</v>
      </c>
      <c r="M248" s="3" t="str">
        <f>IF(L248="Sí","Atraso heredado",IF(K248&lt;[1]Parámetros!$E$13,"Adelantado",IF(K248&lt;=[1]Parámetros!$E$14,"En ventana ±10%","Fuera de ventana")))</f>
        <v>En ventana ±10%</v>
      </c>
      <c r="N248" s="3">
        <f t="shared" si="7"/>
        <v>2029</v>
      </c>
    </row>
    <row r="249" spans="1:14" x14ac:dyDescent="0.3">
      <c r="A249" s="3">
        <v>99</v>
      </c>
      <c r="B249" s="4" t="s">
        <v>26</v>
      </c>
      <c r="C249" s="3" t="s">
        <v>19</v>
      </c>
      <c r="D249" s="5">
        <v>47201</v>
      </c>
      <c r="E249" s="5">
        <v>47223</v>
      </c>
      <c r="F249" s="3">
        <v>23</v>
      </c>
      <c r="G249" s="4" t="s">
        <v>22</v>
      </c>
      <c r="H249" s="3" t="s">
        <v>23</v>
      </c>
      <c r="I249" s="6">
        <v>13003</v>
      </c>
      <c r="J249" s="6">
        <f>INDEX([1]Parámetros!$C$4:$C$10,MATCH(G249,[1]Parámetros!$A$4:$A$10,0))</f>
        <v>12000</v>
      </c>
      <c r="K249" s="7">
        <f t="shared" si="6"/>
        <v>1.0835833333333333</v>
      </c>
      <c r="L249" s="3" t="s">
        <v>19</v>
      </c>
      <c r="M249" s="3" t="str">
        <f>IF(L249="Sí","Atraso heredado",IF(K249&lt;[1]Parámetros!$E$13,"Adelantado",IF(K249&lt;=[1]Parámetros!$E$14,"En ventana ±10%","Fuera de ventana")))</f>
        <v>En ventana ±10%</v>
      </c>
      <c r="N249" s="3">
        <f t="shared" si="7"/>
        <v>2029</v>
      </c>
    </row>
    <row r="250" spans="1:14" x14ac:dyDescent="0.3">
      <c r="A250" s="3">
        <v>99</v>
      </c>
      <c r="B250" s="4" t="s">
        <v>26</v>
      </c>
      <c r="C250" s="3" t="s">
        <v>19</v>
      </c>
      <c r="D250" s="5">
        <v>47201</v>
      </c>
      <c r="E250" s="5">
        <v>47223</v>
      </c>
      <c r="F250" s="3">
        <v>23</v>
      </c>
      <c r="G250" s="4" t="s">
        <v>33</v>
      </c>
      <c r="H250" s="3" t="s">
        <v>34</v>
      </c>
      <c r="I250" s="6">
        <v>13003</v>
      </c>
      <c r="J250" s="6">
        <f>INDEX([1]Parámetros!$C$4:$C$10,MATCH(G250,[1]Parámetros!$A$4:$A$10,0))</f>
        <v>12000</v>
      </c>
      <c r="K250" s="7">
        <f t="shared" si="6"/>
        <v>1.0835833333333333</v>
      </c>
      <c r="L250" s="3" t="s">
        <v>19</v>
      </c>
      <c r="M250" s="3" t="str">
        <f>IF(L250="Sí","Atraso heredado",IF(K250&lt;[1]Parámetros!$E$13,"Adelantado",IF(K250&lt;=[1]Parámetros!$E$14,"En ventana ±10%","Fuera de ventana")))</f>
        <v>En ventana ±10%</v>
      </c>
      <c r="N250" s="3">
        <f t="shared" si="7"/>
        <v>2029</v>
      </c>
    </row>
    <row r="251" spans="1:14" x14ac:dyDescent="0.3">
      <c r="A251" s="3">
        <v>99</v>
      </c>
      <c r="B251" s="4" t="s">
        <v>26</v>
      </c>
      <c r="C251" s="3" t="s">
        <v>19</v>
      </c>
      <c r="D251" s="5">
        <v>47201</v>
      </c>
      <c r="E251" s="5">
        <v>47223</v>
      </c>
      <c r="F251" s="3">
        <v>23</v>
      </c>
      <c r="G251" s="4" t="s">
        <v>24</v>
      </c>
      <c r="H251" s="3" t="s">
        <v>25</v>
      </c>
      <c r="I251" s="6">
        <v>24717</v>
      </c>
      <c r="J251" s="6">
        <f>INDEX([1]Parámetros!$C$4:$C$10,MATCH(G251,[1]Parámetros!$A$4:$A$10,0))</f>
        <v>24000</v>
      </c>
      <c r="K251" s="7">
        <f t="shared" si="6"/>
        <v>1.0298750000000001</v>
      </c>
      <c r="L251" s="3" t="s">
        <v>19</v>
      </c>
      <c r="M251" s="3" t="str">
        <f>IF(L251="Sí","Atraso heredado",IF(K251&lt;[1]Parámetros!$E$13,"Adelantado",IF(K251&lt;=[1]Parámetros!$E$14,"En ventana ±10%","Fuera de ventana")))</f>
        <v>En ventana ±10%</v>
      </c>
      <c r="N251" s="3">
        <f t="shared" si="7"/>
        <v>2029</v>
      </c>
    </row>
    <row r="252" spans="1:14" x14ac:dyDescent="0.3">
      <c r="A252" s="3">
        <v>99</v>
      </c>
      <c r="B252" s="4" t="s">
        <v>26</v>
      </c>
      <c r="C252" s="3" t="s">
        <v>19</v>
      </c>
      <c r="D252" s="5">
        <v>47201</v>
      </c>
      <c r="E252" s="5">
        <v>47223</v>
      </c>
      <c r="F252" s="3">
        <v>23</v>
      </c>
      <c r="G252" s="4" t="s">
        <v>27</v>
      </c>
      <c r="H252" s="3" t="s">
        <v>28</v>
      </c>
      <c r="I252" s="6">
        <v>5292</v>
      </c>
      <c r="J252" s="6">
        <f>INDEX([1]Parámetros!$C$4:$C$10,MATCH(G252,[1]Parámetros!$A$4:$A$10,0))</f>
        <v>3000</v>
      </c>
      <c r="K252" s="7">
        <f t="shared" si="6"/>
        <v>1.764</v>
      </c>
      <c r="L252" s="3" t="s">
        <v>19</v>
      </c>
      <c r="M252" s="3" t="str">
        <f>IF(L252="Sí","Atraso heredado",IF(K252&lt;[1]Parámetros!$E$13,"Adelantado",IF(K252&lt;=[1]Parámetros!$E$14,"En ventana ±10%","Fuera de ventana")))</f>
        <v>Fuera de ventana</v>
      </c>
      <c r="N252" s="3">
        <f t="shared" si="7"/>
        <v>2029</v>
      </c>
    </row>
    <row r="253" spans="1:14" x14ac:dyDescent="0.3">
      <c r="A253" s="3">
        <v>100</v>
      </c>
      <c r="B253" s="4" t="s">
        <v>37</v>
      </c>
      <c r="C253" s="3" t="s">
        <v>16</v>
      </c>
      <c r="D253" s="5">
        <v>47224</v>
      </c>
      <c r="E253" s="5">
        <v>47231</v>
      </c>
      <c r="F253" s="3">
        <v>8</v>
      </c>
      <c r="G253" s="4" t="s">
        <v>17</v>
      </c>
      <c r="H253" s="3" t="s">
        <v>18</v>
      </c>
      <c r="I253" s="6">
        <v>4562</v>
      </c>
      <c r="J253" s="6">
        <f>INDEX([1]Parámetros!$C$4:$C$10,MATCH(G253,[1]Parámetros!$A$4:$A$10,0))</f>
        <v>1500</v>
      </c>
      <c r="K253" s="7">
        <f t="shared" si="6"/>
        <v>3.0413333333333332</v>
      </c>
      <c r="L253" s="3" t="s">
        <v>19</v>
      </c>
      <c r="M253" s="3" t="str">
        <f>IF(L253="Sí","Atraso heredado",IF(K253&lt;[1]Parámetros!$E$13,"Adelantado",IF(K253&lt;=[1]Parámetros!$E$14,"En ventana ±10%","Fuera de ventana")))</f>
        <v>Fuera de ventana</v>
      </c>
      <c r="N253" s="3">
        <f t="shared" si="7"/>
        <v>2029</v>
      </c>
    </row>
    <row r="254" spans="1:14" x14ac:dyDescent="0.3">
      <c r="A254" s="3">
        <v>100</v>
      </c>
      <c r="B254" s="4" t="s">
        <v>37</v>
      </c>
      <c r="C254" s="3" t="s">
        <v>16</v>
      </c>
      <c r="D254" s="5">
        <v>47224</v>
      </c>
      <c r="E254" s="5">
        <v>47231</v>
      </c>
      <c r="F254" s="3">
        <v>8</v>
      </c>
      <c r="G254" s="4" t="s">
        <v>31</v>
      </c>
      <c r="H254" s="3" t="s">
        <v>32</v>
      </c>
      <c r="I254" s="6">
        <v>8791</v>
      </c>
      <c r="J254" s="6">
        <f>INDEX([1]Parámetros!$C$4:$C$10,MATCH(G254,[1]Parámetros!$A$4:$A$10,0))</f>
        <v>6000</v>
      </c>
      <c r="K254" s="7">
        <f t="shared" si="6"/>
        <v>1.4651666666666667</v>
      </c>
      <c r="L254" s="3" t="s">
        <v>19</v>
      </c>
      <c r="M254" s="3" t="str">
        <f>IF(L254="Sí","Atraso heredado",IF(K254&lt;[1]Parámetros!$E$13,"Adelantado",IF(K254&lt;=[1]Parámetros!$E$14,"En ventana ±10%","Fuera de ventana")))</f>
        <v>Fuera de ventana</v>
      </c>
      <c r="N254" s="3">
        <f t="shared" si="7"/>
        <v>2029</v>
      </c>
    </row>
    <row r="255" spans="1:14" x14ac:dyDescent="0.3">
      <c r="A255" s="3">
        <v>100</v>
      </c>
      <c r="B255" s="4" t="s">
        <v>37</v>
      </c>
      <c r="C255" s="3" t="s">
        <v>16</v>
      </c>
      <c r="D255" s="5">
        <v>47224</v>
      </c>
      <c r="E255" s="5">
        <v>47231</v>
      </c>
      <c r="F255" s="3">
        <v>8</v>
      </c>
      <c r="G255" s="4" t="s">
        <v>27</v>
      </c>
      <c r="H255" s="3" t="s">
        <v>28</v>
      </c>
      <c r="I255" s="6">
        <v>4562</v>
      </c>
      <c r="J255" s="6">
        <f>INDEX([1]Parámetros!$C$4:$C$10,MATCH(G255,[1]Parámetros!$A$4:$A$10,0))</f>
        <v>3000</v>
      </c>
      <c r="K255" s="7">
        <f t="shared" si="6"/>
        <v>1.5206666666666666</v>
      </c>
      <c r="L255" s="3" t="s">
        <v>19</v>
      </c>
      <c r="M255" s="3" t="str">
        <f>IF(L255="Sí","Atraso heredado",IF(K255&lt;[1]Parámetros!$E$13,"Adelantado",IF(K255&lt;=[1]Parámetros!$E$14,"En ventana ±10%","Fuera de ventana")))</f>
        <v>Fuera de ventana</v>
      </c>
      <c r="N255" s="3">
        <f t="shared" si="7"/>
        <v>2029</v>
      </c>
    </row>
    <row r="256" spans="1:14" x14ac:dyDescent="0.3">
      <c r="A256" s="3">
        <v>101</v>
      </c>
      <c r="B256" s="4" t="s">
        <v>41</v>
      </c>
      <c r="C256" s="3" t="s">
        <v>19</v>
      </c>
      <c r="D256" s="5">
        <v>47232</v>
      </c>
      <c r="E256" s="5">
        <v>47238</v>
      </c>
      <c r="F256" s="3">
        <v>7</v>
      </c>
      <c r="G256" s="4" t="s">
        <v>31</v>
      </c>
      <c r="H256" s="3" t="s">
        <v>32</v>
      </c>
      <c r="I256" s="6">
        <v>4838</v>
      </c>
      <c r="J256" s="6">
        <f>INDEX([1]Parámetros!$C$4:$C$10,MATCH(G256,[1]Parámetros!$A$4:$A$10,0))</f>
        <v>6000</v>
      </c>
      <c r="K256" s="7">
        <f t="shared" si="6"/>
        <v>0.80633333333333335</v>
      </c>
      <c r="L256" s="3" t="s">
        <v>19</v>
      </c>
      <c r="M256" s="3" t="str">
        <f>IF(L256="Sí","Atraso heredado",IF(K256&lt;[1]Parámetros!$E$13,"Adelantado",IF(K256&lt;=[1]Parámetros!$E$14,"En ventana ±10%","Fuera de ventana")))</f>
        <v>Adelantado</v>
      </c>
      <c r="N256" s="3">
        <f t="shared" si="7"/>
        <v>2029</v>
      </c>
    </row>
    <row r="257" spans="1:14" x14ac:dyDescent="0.3">
      <c r="A257" s="3">
        <v>102</v>
      </c>
      <c r="B257" s="4" t="s">
        <v>43</v>
      </c>
      <c r="C257" s="3" t="s">
        <v>19</v>
      </c>
      <c r="D257" s="5">
        <v>47239</v>
      </c>
      <c r="E257" s="5">
        <v>47242</v>
      </c>
      <c r="F257" s="3">
        <v>4</v>
      </c>
      <c r="G257" s="4" t="s">
        <v>27</v>
      </c>
      <c r="H257" s="3" t="s">
        <v>28</v>
      </c>
      <c r="I257" s="6">
        <v>3110</v>
      </c>
      <c r="J257" s="6">
        <f>INDEX([1]Parámetros!$C$4:$C$10,MATCH(G257,[1]Parámetros!$A$4:$A$10,0))</f>
        <v>3000</v>
      </c>
      <c r="K257" s="7">
        <f t="shared" si="6"/>
        <v>1.0366666666666666</v>
      </c>
      <c r="L257" s="3" t="s">
        <v>19</v>
      </c>
      <c r="M257" s="3" t="str">
        <f>IF(L257="Sí","Atraso heredado",IF(K257&lt;[1]Parámetros!$E$13,"Adelantado",IF(K257&lt;=[1]Parámetros!$E$14,"En ventana ±10%","Fuera de ventana")))</f>
        <v>En ventana ±10%</v>
      </c>
      <c r="N257" s="3">
        <f t="shared" si="7"/>
        <v>2029</v>
      </c>
    </row>
    <row r="258" spans="1:14" x14ac:dyDescent="0.3">
      <c r="A258" s="3">
        <v>103</v>
      </c>
      <c r="B258" s="4" t="s">
        <v>38</v>
      </c>
      <c r="C258" s="3" t="s">
        <v>16</v>
      </c>
      <c r="D258" s="5">
        <v>47243</v>
      </c>
      <c r="E258" s="5">
        <v>47254</v>
      </c>
      <c r="F258" s="3">
        <v>12</v>
      </c>
      <c r="G258" s="4" t="s">
        <v>17</v>
      </c>
      <c r="H258" s="3" t="s">
        <v>18</v>
      </c>
      <c r="I258" s="6">
        <v>4728</v>
      </c>
      <c r="J258" s="6">
        <f>INDEX([1]Parámetros!$C$4:$C$10,MATCH(G258,[1]Parámetros!$A$4:$A$10,0))</f>
        <v>1500</v>
      </c>
      <c r="K258" s="7">
        <f t="shared" si="6"/>
        <v>3.1520000000000001</v>
      </c>
      <c r="L258" s="3" t="s">
        <v>19</v>
      </c>
      <c r="M258" s="3" t="str">
        <f>IF(L258="Sí","Atraso heredado",IF(K258&lt;[1]Parámetros!$E$13,"Adelantado",IF(K258&lt;=[1]Parámetros!$E$14,"En ventana ±10%","Fuera de ventana")))</f>
        <v>Fuera de ventana</v>
      </c>
      <c r="N258" s="3">
        <f t="shared" si="7"/>
        <v>2029</v>
      </c>
    </row>
    <row r="259" spans="1:14" x14ac:dyDescent="0.3">
      <c r="A259" s="3">
        <v>103</v>
      </c>
      <c r="B259" s="4" t="s">
        <v>38</v>
      </c>
      <c r="C259" s="3" t="s">
        <v>16</v>
      </c>
      <c r="D259" s="5">
        <v>47243</v>
      </c>
      <c r="E259" s="5">
        <v>47254</v>
      </c>
      <c r="F259" s="3">
        <v>12</v>
      </c>
      <c r="G259" s="4" t="s">
        <v>31</v>
      </c>
      <c r="H259" s="3" t="s">
        <v>32</v>
      </c>
      <c r="I259" s="6">
        <v>8435</v>
      </c>
      <c r="J259" s="6">
        <f>INDEX([1]Parámetros!$C$4:$C$10,MATCH(G259,[1]Parámetros!$A$4:$A$10,0))</f>
        <v>6000</v>
      </c>
      <c r="K259" s="7">
        <f t="shared" si="6"/>
        <v>1.4058333333333333</v>
      </c>
      <c r="L259" s="3" t="s">
        <v>19</v>
      </c>
      <c r="M259" s="3" t="str">
        <f>IF(L259="Sí","Atraso heredado",IF(K259&lt;[1]Parámetros!$E$13,"Adelantado",IF(K259&lt;=[1]Parámetros!$E$14,"En ventana ±10%","Fuera de ventana")))</f>
        <v>Fuera de ventana</v>
      </c>
      <c r="N259" s="3">
        <f t="shared" si="7"/>
        <v>2029</v>
      </c>
    </row>
    <row r="260" spans="1:14" x14ac:dyDescent="0.3">
      <c r="A260" s="3">
        <v>103</v>
      </c>
      <c r="B260" s="4" t="s">
        <v>38</v>
      </c>
      <c r="C260" s="3" t="s">
        <v>16</v>
      </c>
      <c r="D260" s="5">
        <v>47243</v>
      </c>
      <c r="E260" s="5">
        <v>47254</v>
      </c>
      <c r="F260" s="3">
        <v>12</v>
      </c>
      <c r="G260" s="4" t="s">
        <v>33</v>
      </c>
      <c r="H260" s="3" t="s">
        <v>34</v>
      </c>
      <c r="I260" s="6">
        <v>13116</v>
      </c>
      <c r="J260" s="6">
        <f>INDEX([1]Parámetros!$C$4:$C$10,MATCH(G260,[1]Parámetros!$A$4:$A$10,0))</f>
        <v>12000</v>
      </c>
      <c r="K260" s="7">
        <f t="shared" ref="K260:K321" si="8">I260/J260</f>
        <v>1.093</v>
      </c>
      <c r="L260" s="3" t="s">
        <v>19</v>
      </c>
      <c r="M260" s="3" t="str">
        <f>IF(L260="Sí","Atraso heredado",IF(K260&lt;[1]Parámetros!$E$13,"Adelantado",IF(K260&lt;=[1]Parámetros!$E$14,"En ventana ±10%","Fuera de ventana")))</f>
        <v>En ventana ±10%</v>
      </c>
      <c r="N260" s="3">
        <f t="shared" ref="N260:N321" si="9">YEAR(D260)</f>
        <v>2029</v>
      </c>
    </row>
    <row r="261" spans="1:14" x14ac:dyDescent="0.3">
      <c r="A261" s="3">
        <v>103</v>
      </c>
      <c r="B261" s="4" t="s">
        <v>38</v>
      </c>
      <c r="C261" s="3" t="s">
        <v>16</v>
      </c>
      <c r="D261" s="5">
        <v>47243</v>
      </c>
      <c r="E261" s="5">
        <v>47254</v>
      </c>
      <c r="F261" s="3">
        <v>12</v>
      </c>
      <c r="G261" s="4" t="s">
        <v>27</v>
      </c>
      <c r="H261" s="3" t="s">
        <v>28</v>
      </c>
      <c r="I261" s="6">
        <v>4728</v>
      </c>
      <c r="J261" s="6">
        <f>INDEX([1]Parámetros!$C$4:$C$10,MATCH(G261,[1]Parámetros!$A$4:$A$10,0))</f>
        <v>3000</v>
      </c>
      <c r="K261" s="7">
        <f t="shared" si="8"/>
        <v>1.5760000000000001</v>
      </c>
      <c r="L261" s="3" t="s">
        <v>19</v>
      </c>
      <c r="M261" s="3" t="str">
        <f>IF(L261="Sí","Atraso heredado",IF(K261&lt;[1]Parámetros!$E$13,"Adelantado",IF(K261&lt;=[1]Parámetros!$E$14,"En ventana ±10%","Fuera de ventana")))</f>
        <v>Fuera de ventana</v>
      </c>
      <c r="N261" s="3">
        <f t="shared" si="9"/>
        <v>2029</v>
      </c>
    </row>
    <row r="262" spans="1:14" x14ac:dyDescent="0.3">
      <c r="A262" s="3">
        <v>104</v>
      </c>
      <c r="B262" s="4" t="s">
        <v>29</v>
      </c>
      <c r="C262" s="3" t="s">
        <v>16</v>
      </c>
      <c r="D262" s="5">
        <v>47255</v>
      </c>
      <c r="E262" s="5">
        <v>47277</v>
      </c>
      <c r="F262" s="3">
        <v>23</v>
      </c>
      <c r="G262" s="4" t="s">
        <v>17</v>
      </c>
      <c r="H262" s="3" t="s">
        <v>18</v>
      </c>
      <c r="I262" s="6">
        <v>3754</v>
      </c>
      <c r="J262" s="6">
        <f>INDEX([1]Parámetros!$C$4:$C$10,MATCH(G262,[1]Parámetros!$A$4:$A$10,0))</f>
        <v>1500</v>
      </c>
      <c r="K262" s="7">
        <f t="shared" si="8"/>
        <v>2.5026666666666668</v>
      </c>
      <c r="L262" s="3" t="s">
        <v>19</v>
      </c>
      <c r="M262" s="3" t="str">
        <f>IF(L262="Sí","Atraso heredado",IF(K262&lt;[1]Parámetros!$E$13,"Adelantado",IF(K262&lt;=[1]Parámetros!$E$14,"En ventana ±10%","Fuera de ventana")))</f>
        <v>Fuera de ventana</v>
      </c>
      <c r="N262" s="3">
        <f t="shared" si="9"/>
        <v>2029</v>
      </c>
    </row>
    <row r="263" spans="1:14" x14ac:dyDescent="0.3">
      <c r="A263" s="3">
        <v>104</v>
      </c>
      <c r="B263" s="4" t="s">
        <v>29</v>
      </c>
      <c r="C263" s="3" t="s">
        <v>16</v>
      </c>
      <c r="D263" s="5">
        <v>47255</v>
      </c>
      <c r="E263" s="5">
        <v>47277</v>
      </c>
      <c r="F263" s="3">
        <v>23</v>
      </c>
      <c r="G263" s="4" t="s">
        <v>20</v>
      </c>
      <c r="H263" s="3" t="s">
        <v>21</v>
      </c>
      <c r="I263" s="6">
        <v>13116</v>
      </c>
      <c r="J263" s="6">
        <f>INDEX([1]Parámetros!$C$4:$C$10,MATCH(G263,[1]Parámetros!$A$4:$A$10,0))</f>
        <v>12000</v>
      </c>
      <c r="K263" s="7">
        <f t="shared" si="8"/>
        <v>1.093</v>
      </c>
      <c r="L263" s="3" t="s">
        <v>19</v>
      </c>
      <c r="M263" s="3" t="str">
        <f>IF(L263="Sí","Atraso heredado",IF(K263&lt;[1]Parámetros!$E$13,"Adelantado",IF(K263&lt;=[1]Parámetros!$E$14,"En ventana ±10%","Fuera de ventana")))</f>
        <v>En ventana ±10%</v>
      </c>
      <c r="N263" s="3">
        <f t="shared" si="9"/>
        <v>2029</v>
      </c>
    </row>
    <row r="264" spans="1:14" x14ac:dyDescent="0.3">
      <c r="A264" s="3">
        <v>104</v>
      </c>
      <c r="B264" s="4" t="s">
        <v>29</v>
      </c>
      <c r="C264" s="3" t="s">
        <v>16</v>
      </c>
      <c r="D264" s="5">
        <v>47255</v>
      </c>
      <c r="E264" s="5">
        <v>47277</v>
      </c>
      <c r="F264" s="3">
        <v>23</v>
      </c>
      <c r="G264" s="4" t="s">
        <v>22</v>
      </c>
      <c r="H264" s="3" t="s">
        <v>23</v>
      </c>
      <c r="I264" s="6">
        <v>13116</v>
      </c>
      <c r="J264" s="6">
        <f>INDEX([1]Parámetros!$C$4:$C$10,MATCH(G264,[1]Parámetros!$A$4:$A$10,0))</f>
        <v>12000</v>
      </c>
      <c r="K264" s="7">
        <f t="shared" si="8"/>
        <v>1.093</v>
      </c>
      <c r="L264" s="3" t="s">
        <v>19</v>
      </c>
      <c r="M264" s="3" t="str">
        <f>IF(L264="Sí","Atraso heredado",IF(K264&lt;[1]Parámetros!$E$13,"Adelantado",IF(K264&lt;=[1]Parámetros!$E$14,"En ventana ±10%","Fuera de ventana")))</f>
        <v>En ventana ±10%</v>
      </c>
      <c r="N264" s="3">
        <f t="shared" si="9"/>
        <v>2029</v>
      </c>
    </row>
    <row r="265" spans="1:14" x14ac:dyDescent="0.3">
      <c r="A265" s="3">
        <v>104</v>
      </c>
      <c r="B265" s="4" t="s">
        <v>29</v>
      </c>
      <c r="C265" s="3" t="s">
        <v>16</v>
      </c>
      <c r="D265" s="5">
        <v>47255</v>
      </c>
      <c r="E265" s="5">
        <v>47277</v>
      </c>
      <c r="F265" s="3">
        <v>23</v>
      </c>
      <c r="G265" s="4" t="s">
        <v>24</v>
      </c>
      <c r="H265" s="3" t="s">
        <v>25</v>
      </c>
      <c r="I265" s="6">
        <v>24391</v>
      </c>
      <c r="J265" s="6">
        <f>INDEX([1]Parámetros!$C$4:$C$10,MATCH(G265,[1]Parámetros!$A$4:$A$10,0))</f>
        <v>24000</v>
      </c>
      <c r="K265" s="7">
        <f t="shared" si="8"/>
        <v>1.0162916666666666</v>
      </c>
      <c r="L265" s="3" t="s">
        <v>19</v>
      </c>
      <c r="M265" s="3" t="str">
        <f>IF(L265="Sí","Atraso heredado",IF(K265&lt;[1]Parámetros!$E$13,"Adelantado",IF(K265&lt;=[1]Parámetros!$E$14,"En ventana ±10%","Fuera de ventana")))</f>
        <v>En ventana ±10%</v>
      </c>
      <c r="N265" s="3">
        <f t="shared" si="9"/>
        <v>2029</v>
      </c>
    </row>
    <row r="266" spans="1:14" x14ac:dyDescent="0.3">
      <c r="A266" s="3">
        <v>104</v>
      </c>
      <c r="B266" s="4" t="s">
        <v>29</v>
      </c>
      <c r="C266" s="3" t="s">
        <v>16</v>
      </c>
      <c r="D266" s="5">
        <v>47255</v>
      </c>
      <c r="E266" s="5">
        <v>47277</v>
      </c>
      <c r="F266" s="3">
        <v>23</v>
      </c>
      <c r="G266" s="4" t="s">
        <v>27</v>
      </c>
      <c r="H266" s="3" t="s">
        <v>28</v>
      </c>
      <c r="I266" s="6">
        <v>5370</v>
      </c>
      <c r="J266" s="6">
        <f>INDEX([1]Parámetros!$C$4:$C$10,MATCH(G266,[1]Parámetros!$A$4:$A$10,0))</f>
        <v>3000</v>
      </c>
      <c r="K266" s="7">
        <f t="shared" si="8"/>
        <v>1.79</v>
      </c>
      <c r="L266" s="3" t="s">
        <v>19</v>
      </c>
      <c r="M266" s="3" t="str">
        <f>IF(L266="Sí","Atraso heredado",IF(K266&lt;[1]Parámetros!$E$13,"Adelantado",IF(K266&lt;=[1]Parámetros!$E$14,"En ventana ±10%","Fuera de ventana")))</f>
        <v>Fuera de ventana</v>
      </c>
      <c r="N266" s="3">
        <f t="shared" si="9"/>
        <v>2029</v>
      </c>
    </row>
    <row r="267" spans="1:14" x14ac:dyDescent="0.3">
      <c r="A267" s="3">
        <v>105</v>
      </c>
      <c r="B267" s="4" t="s">
        <v>40</v>
      </c>
      <c r="C267" s="3" t="s">
        <v>19</v>
      </c>
      <c r="D267" s="5">
        <v>47278</v>
      </c>
      <c r="E267" s="5">
        <v>47288</v>
      </c>
      <c r="F267" s="3">
        <v>11</v>
      </c>
      <c r="G267" s="4" t="s">
        <v>31</v>
      </c>
      <c r="H267" s="3" t="s">
        <v>32</v>
      </c>
      <c r="I267" s="6">
        <v>6372</v>
      </c>
      <c r="J267" s="6">
        <f>INDEX([1]Parámetros!$C$4:$C$10,MATCH(G267,[1]Parámetros!$A$4:$A$10,0))</f>
        <v>6000</v>
      </c>
      <c r="K267" s="7">
        <f t="shared" si="8"/>
        <v>1.0620000000000001</v>
      </c>
      <c r="L267" s="3" t="s">
        <v>19</v>
      </c>
      <c r="M267" s="3" t="str">
        <f>IF(L267="Sí","Atraso heredado",IF(K267&lt;[1]Parámetros!$E$13,"Adelantado",IF(K267&lt;=[1]Parámetros!$E$14,"En ventana ±10%","Fuera de ventana")))</f>
        <v>En ventana ±10%</v>
      </c>
      <c r="N267" s="3">
        <f t="shared" si="9"/>
        <v>2029</v>
      </c>
    </row>
    <row r="268" spans="1:14" x14ac:dyDescent="0.3">
      <c r="A268" s="3">
        <v>105</v>
      </c>
      <c r="B268" s="4" t="s">
        <v>40</v>
      </c>
      <c r="C268" s="3" t="s">
        <v>19</v>
      </c>
      <c r="D268" s="5">
        <v>47278</v>
      </c>
      <c r="E268" s="5">
        <v>47288</v>
      </c>
      <c r="F268" s="3">
        <v>11</v>
      </c>
      <c r="G268" s="4" t="s">
        <v>24</v>
      </c>
      <c r="H268" s="3" t="s">
        <v>25</v>
      </c>
      <c r="I268" s="6">
        <v>22439</v>
      </c>
      <c r="J268" s="6">
        <f>INDEX([1]Parámetros!$C$4:$C$10,MATCH(G268,[1]Parámetros!$A$4:$A$10,0))</f>
        <v>24000</v>
      </c>
      <c r="K268" s="7">
        <f t="shared" si="8"/>
        <v>0.93495833333333334</v>
      </c>
      <c r="L268" s="3" t="s">
        <v>19</v>
      </c>
      <c r="M268" s="3" t="str">
        <f>IF(L268="Sí","Atraso heredado",IF(K268&lt;[1]Parámetros!$E$13,"Adelantado",IF(K268&lt;=[1]Parámetros!$E$14,"En ventana ±10%","Fuera de ventana")))</f>
        <v>En ventana ±10%</v>
      </c>
      <c r="N268" s="3">
        <f t="shared" si="9"/>
        <v>2029</v>
      </c>
    </row>
    <row r="269" spans="1:14" x14ac:dyDescent="0.3">
      <c r="A269" s="3">
        <v>106</v>
      </c>
      <c r="B269" s="4" t="s">
        <v>35</v>
      </c>
      <c r="C269" s="3" t="s">
        <v>16</v>
      </c>
      <c r="D269" s="5">
        <v>47289</v>
      </c>
      <c r="E269" s="5">
        <v>47300</v>
      </c>
      <c r="F269" s="3">
        <v>12</v>
      </c>
      <c r="G269" s="4" t="s">
        <v>17</v>
      </c>
      <c r="H269" s="3" t="s">
        <v>18</v>
      </c>
      <c r="I269" s="6">
        <v>3968</v>
      </c>
      <c r="J269" s="6">
        <f>INDEX([1]Parámetros!$C$4:$C$10,MATCH(G269,[1]Parámetros!$A$4:$A$10,0))</f>
        <v>1500</v>
      </c>
      <c r="K269" s="7">
        <f t="shared" si="8"/>
        <v>2.6453333333333333</v>
      </c>
      <c r="L269" s="3" t="s">
        <v>19</v>
      </c>
      <c r="M269" s="3" t="str">
        <f>IF(L269="Sí","Atraso heredado",IF(K269&lt;[1]Parámetros!$E$13,"Adelantado",IF(K269&lt;=[1]Parámetros!$E$14,"En ventana ±10%","Fuera de ventana")))</f>
        <v>Fuera de ventana</v>
      </c>
      <c r="N269" s="3">
        <f t="shared" si="9"/>
        <v>2029</v>
      </c>
    </row>
    <row r="270" spans="1:14" x14ac:dyDescent="0.3">
      <c r="A270" s="3">
        <v>106</v>
      </c>
      <c r="B270" s="4" t="s">
        <v>35</v>
      </c>
      <c r="C270" s="3" t="s">
        <v>16</v>
      </c>
      <c r="D270" s="5">
        <v>47289</v>
      </c>
      <c r="E270" s="5">
        <v>47300</v>
      </c>
      <c r="F270" s="3">
        <v>12</v>
      </c>
      <c r="G270" s="4" t="s">
        <v>31</v>
      </c>
      <c r="H270" s="3" t="s">
        <v>32</v>
      </c>
      <c r="I270" s="6">
        <v>8767</v>
      </c>
      <c r="J270" s="6">
        <f>INDEX([1]Parámetros!$C$4:$C$10,MATCH(G270,[1]Parámetros!$A$4:$A$10,0))</f>
        <v>6000</v>
      </c>
      <c r="K270" s="7">
        <f t="shared" si="8"/>
        <v>1.4611666666666667</v>
      </c>
      <c r="L270" s="3" t="s">
        <v>19</v>
      </c>
      <c r="M270" s="3" t="str">
        <f>IF(L270="Sí","Atraso heredado",IF(K270&lt;[1]Parámetros!$E$13,"Adelantado",IF(K270&lt;=[1]Parámetros!$E$14,"En ventana ±10%","Fuera de ventana")))</f>
        <v>Fuera de ventana</v>
      </c>
      <c r="N270" s="3">
        <f t="shared" si="9"/>
        <v>2029</v>
      </c>
    </row>
    <row r="271" spans="1:14" x14ac:dyDescent="0.3">
      <c r="A271" s="3">
        <v>106</v>
      </c>
      <c r="B271" s="4" t="s">
        <v>35</v>
      </c>
      <c r="C271" s="3" t="s">
        <v>16</v>
      </c>
      <c r="D271" s="5">
        <v>47289</v>
      </c>
      <c r="E271" s="5">
        <v>47300</v>
      </c>
      <c r="F271" s="3">
        <v>12</v>
      </c>
      <c r="G271" s="4" t="s">
        <v>24</v>
      </c>
      <c r="H271" s="3" t="s">
        <v>25</v>
      </c>
      <c r="I271" s="6">
        <v>22976</v>
      </c>
      <c r="J271" s="6">
        <f>INDEX([1]Parámetros!$C$4:$C$10,MATCH(G271,[1]Parámetros!$A$4:$A$10,0))</f>
        <v>24000</v>
      </c>
      <c r="K271" s="7">
        <f t="shared" si="8"/>
        <v>0.95733333333333337</v>
      </c>
      <c r="L271" s="3" t="s">
        <v>19</v>
      </c>
      <c r="M271" s="3" t="str">
        <f>IF(L271="Sí","Atraso heredado",IF(K271&lt;[1]Parámetros!$E$13,"Adelantado",IF(K271&lt;=[1]Parámetros!$E$14,"En ventana ±10%","Fuera de ventana")))</f>
        <v>En ventana ±10%</v>
      </c>
      <c r="N271" s="3">
        <f t="shared" si="9"/>
        <v>2029</v>
      </c>
    </row>
    <row r="272" spans="1:14" x14ac:dyDescent="0.3">
      <c r="A272" s="3">
        <v>106</v>
      </c>
      <c r="B272" s="4" t="s">
        <v>35</v>
      </c>
      <c r="C272" s="3" t="s">
        <v>16</v>
      </c>
      <c r="D272" s="5">
        <v>47289</v>
      </c>
      <c r="E272" s="5">
        <v>47300</v>
      </c>
      <c r="F272" s="3">
        <v>12</v>
      </c>
      <c r="G272" s="4" t="s">
        <v>27</v>
      </c>
      <c r="H272" s="3" t="s">
        <v>28</v>
      </c>
      <c r="I272" s="6">
        <v>5655</v>
      </c>
      <c r="J272" s="6">
        <f>INDEX([1]Parámetros!$C$4:$C$10,MATCH(G272,[1]Parámetros!$A$4:$A$10,0))</f>
        <v>3000</v>
      </c>
      <c r="K272" s="7">
        <f t="shared" si="8"/>
        <v>1.885</v>
      </c>
      <c r="L272" s="3" t="s">
        <v>19</v>
      </c>
      <c r="M272" s="3" t="str">
        <f>IF(L272="Sí","Atraso heredado",IF(K272&lt;[1]Parámetros!$E$13,"Adelantado",IF(K272&lt;=[1]Parámetros!$E$14,"En ventana ±10%","Fuera de ventana")))</f>
        <v>Fuera de ventana</v>
      </c>
      <c r="N272" s="3">
        <f t="shared" si="9"/>
        <v>2029</v>
      </c>
    </row>
    <row r="273" spans="1:14" x14ac:dyDescent="0.3">
      <c r="A273" s="3">
        <v>107</v>
      </c>
      <c r="B273" s="4" t="s">
        <v>45</v>
      </c>
      <c r="C273" s="3" t="s">
        <v>19</v>
      </c>
      <c r="D273" s="5">
        <v>47301</v>
      </c>
      <c r="E273" s="5">
        <v>47304</v>
      </c>
      <c r="F273" s="3">
        <v>4</v>
      </c>
      <c r="G273" s="4" t="s">
        <v>27</v>
      </c>
      <c r="H273" s="3" t="s">
        <v>28</v>
      </c>
      <c r="I273" s="6">
        <v>3283</v>
      </c>
      <c r="J273" s="6">
        <f>INDEX([1]Parámetros!$C$4:$C$10,MATCH(G273,[1]Parámetros!$A$4:$A$10,0))</f>
        <v>3000</v>
      </c>
      <c r="K273" s="7">
        <f t="shared" si="8"/>
        <v>1.0943333333333334</v>
      </c>
      <c r="L273" s="3" t="s">
        <v>19</v>
      </c>
      <c r="M273" s="3" t="str">
        <f>IF(L273="Sí","Atraso heredado",IF(K273&lt;[1]Parámetros!$E$13,"Adelantado",IF(K273&lt;=[1]Parámetros!$E$14,"En ventana ±10%","Fuera de ventana")))</f>
        <v>En ventana ±10%</v>
      </c>
      <c r="N273" s="3">
        <f t="shared" si="9"/>
        <v>2029</v>
      </c>
    </row>
    <row r="274" spans="1:14" x14ac:dyDescent="0.3">
      <c r="A274" s="3">
        <v>108</v>
      </c>
      <c r="B274" s="4" t="s">
        <v>44</v>
      </c>
      <c r="C274" s="3" t="s">
        <v>19</v>
      </c>
      <c r="D274" s="5">
        <v>47305</v>
      </c>
      <c r="E274" s="5">
        <v>47327</v>
      </c>
      <c r="F274" s="3">
        <v>23</v>
      </c>
      <c r="G274" s="4" t="s">
        <v>20</v>
      </c>
      <c r="H274" s="3" t="s">
        <v>21</v>
      </c>
      <c r="I274" s="6">
        <v>16956</v>
      </c>
      <c r="J274" s="6">
        <f>INDEX([1]Parámetros!$C$4:$C$10,MATCH(G274,[1]Parámetros!$A$4:$A$10,0))</f>
        <v>12000</v>
      </c>
      <c r="K274" s="7">
        <f t="shared" si="8"/>
        <v>1.413</v>
      </c>
      <c r="L274" s="3" t="s">
        <v>19</v>
      </c>
      <c r="M274" s="3" t="str">
        <f>IF(L274="Sí","Atraso heredado",IF(K274&lt;[1]Parámetros!$E$13,"Adelantado",IF(K274&lt;=[1]Parámetros!$E$14,"En ventana ±10%","Fuera de ventana")))</f>
        <v>Fuera de ventana</v>
      </c>
      <c r="N274" s="3">
        <f t="shared" si="9"/>
        <v>2029</v>
      </c>
    </row>
    <row r="275" spans="1:14" x14ac:dyDescent="0.3">
      <c r="A275" s="3">
        <v>108</v>
      </c>
      <c r="B275" s="4" t="s">
        <v>44</v>
      </c>
      <c r="C275" s="3" t="s">
        <v>19</v>
      </c>
      <c r="D275" s="5">
        <v>47305</v>
      </c>
      <c r="E275" s="5">
        <v>47327</v>
      </c>
      <c r="F275" s="3">
        <v>23</v>
      </c>
      <c r="G275" s="4" t="s">
        <v>22</v>
      </c>
      <c r="H275" s="3" t="s">
        <v>23</v>
      </c>
      <c r="I275" s="6">
        <v>16956</v>
      </c>
      <c r="J275" s="6">
        <f>INDEX([1]Parámetros!$C$4:$C$10,MATCH(G275,[1]Parámetros!$A$4:$A$10,0))</f>
        <v>12000</v>
      </c>
      <c r="K275" s="7">
        <f t="shared" si="8"/>
        <v>1.413</v>
      </c>
      <c r="L275" s="3" t="s">
        <v>19</v>
      </c>
      <c r="M275" s="3" t="str">
        <f>IF(L275="Sí","Atraso heredado",IF(K275&lt;[1]Parámetros!$E$13,"Adelantado",IF(K275&lt;=[1]Parámetros!$E$14,"En ventana ±10%","Fuera de ventana")))</f>
        <v>Fuera de ventana</v>
      </c>
      <c r="N275" s="3">
        <f t="shared" si="9"/>
        <v>2029</v>
      </c>
    </row>
    <row r="276" spans="1:14" x14ac:dyDescent="0.3">
      <c r="A276" s="3">
        <v>108</v>
      </c>
      <c r="B276" s="4" t="s">
        <v>44</v>
      </c>
      <c r="C276" s="3" t="s">
        <v>19</v>
      </c>
      <c r="D276" s="5">
        <v>47305</v>
      </c>
      <c r="E276" s="5">
        <v>47327</v>
      </c>
      <c r="F276" s="3">
        <v>23</v>
      </c>
      <c r="G276" s="4" t="s">
        <v>33</v>
      </c>
      <c r="H276" s="3" t="s">
        <v>34</v>
      </c>
      <c r="I276" s="6">
        <v>16956</v>
      </c>
      <c r="J276" s="6">
        <f>INDEX([1]Parámetros!$C$4:$C$10,MATCH(G276,[1]Parámetros!$A$4:$A$10,0))</f>
        <v>12000</v>
      </c>
      <c r="K276" s="7">
        <f t="shared" si="8"/>
        <v>1.413</v>
      </c>
      <c r="L276" s="3" t="s">
        <v>19</v>
      </c>
      <c r="M276" s="3" t="str">
        <f>IF(L276="Sí","Atraso heredado",IF(K276&lt;[1]Parámetros!$E$13,"Adelantado",IF(K276&lt;=[1]Parámetros!$E$14,"En ventana ±10%","Fuera de ventana")))</f>
        <v>Fuera de ventana</v>
      </c>
      <c r="N276" s="3">
        <f t="shared" si="9"/>
        <v>2029</v>
      </c>
    </row>
    <row r="277" spans="1:14" x14ac:dyDescent="0.3">
      <c r="A277" s="3">
        <v>108</v>
      </c>
      <c r="B277" s="4" t="s">
        <v>44</v>
      </c>
      <c r="C277" s="3" t="s">
        <v>19</v>
      </c>
      <c r="D277" s="5">
        <v>47305</v>
      </c>
      <c r="E277" s="5">
        <v>47327</v>
      </c>
      <c r="F277" s="3">
        <v>23</v>
      </c>
      <c r="G277" s="4" t="s">
        <v>31</v>
      </c>
      <c r="H277" s="3" t="s">
        <v>32</v>
      </c>
      <c r="I277" s="6">
        <v>9655</v>
      </c>
      <c r="J277" s="6">
        <f>INDEX([1]Parámetros!$C$4:$C$10,MATCH(G277,[1]Parámetros!$A$4:$A$10,0))</f>
        <v>6000</v>
      </c>
      <c r="K277" s="7">
        <f t="shared" si="8"/>
        <v>1.6091666666666666</v>
      </c>
      <c r="L277" s="3" t="s">
        <v>19</v>
      </c>
      <c r="M277" s="3" t="str">
        <f>IF(L277="Sí","Atraso heredado",IF(K277&lt;[1]Parámetros!$E$13,"Adelantado",IF(K277&lt;=[1]Parámetros!$E$14,"En ventana ±10%","Fuera de ventana")))</f>
        <v>Fuera de ventana</v>
      </c>
      <c r="N277" s="3">
        <f t="shared" si="9"/>
        <v>2029</v>
      </c>
    </row>
    <row r="278" spans="1:14" x14ac:dyDescent="0.3">
      <c r="A278" s="3">
        <v>108</v>
      </c>
      <c r="B278" s="4" t="s">
        <v>44</v>
      </c>
      <c r="C278" s="3" t="s">
        <v>19</v>
      </c>
      <c r="D278" s="5">
        <v>47305</v>
      </c>
      <c r="E278" s="5">
        <v>47327</v>
      </c>
      <c r="F278" s="3">
        <v>23</v>
      </c>
      <c r="G278" s="4" t="s">
        <v>27</v>
      </c>
      <c r="H278" s="3" t="s">
        <v>28</v>
      </c>
      <c r="I278" s="6">
        <v>6415</v>
      </c>
      <c r="J278" s="6">
        <f>INDEX([1]Parámetros!$C$4:$C$10,MATCH(G278,[1]Parámetros!$A$4:$A$10,0))</f>
        <v>3000</v>
      </c>
      <c r="K278" s="7">
        <f t="shared" si="8"/>
        <v>2.1383333333333332</v>
      </c>
      <c r="L278" s="3" t="s">
        <v>19</v>
      </c>
      <c r="M278" s="3" t="str">
        <f>IF(L278="Sí","Atraso heredado",IF(K278&lt;[1]Parámetros!$E$13,"Adelantado",IF(K278&lt;=[1]Parámetros!$E$14,"En ventana ±10%","Fuera de ventana")))</f>
        <v>Fuera de ventana</v>
      </c>
      <c r="N278" s="3">
        <f t="shared" si="9"/>
        <v>2029</v>
      </c>
    </row>
    <row r="279" spans="1:14" x14ac:dyDescent="0.3">
      <c r="A279" s="3">
        <v>109</v>
      </c>
      <c r="B279" s="4" t="s">
        <v>29</v>
      </c>
      <c r="C279" s="3" t="s">
        <v>16</v>
      </c>
      <c r="D279" s="5">
        <v>47328</v>
      </c>
      <c r="E279" s="5">
        <v>47329</v>
      </c>
      <c r="F279" s="3">
        <v>2</v>
      </c>
      <c r="G279" s="4" t="s">
        <v>17</v>
      </c>
      <c r="H279" s="3" t="s">
        <v>18</v>
      </c>
      <c r="I279" s="6">
        <v>1188</v>
      </c>
      <c r="J279" s="6">
        <f>INDEX([1]Parámetros!$C$4:$C$10,MATCH(G279,[1]Parámetros!$A$4:$A$10,0))</f>
        <v>1500</v>
      </c>
      <c r="K279" s="7">
        <f t="shared" si="8"/>
        <v>0.79200000000000004</v>
      </c>
      <c r="L279" s="3" t="s">
        <v>19</v>
      </c>
      <c r="M279" s="3" t="str">
        <f>IF(L279="Sí","Atraso heredado",IF(K279&lt;[1]Parámetros!$E$13,"Adelantado",IF(K279&lt;=[1]Parámetros!$E$14,"En ventana ±10%","Fuera de ventana")))</f>
        <v>Adelantado</v>
      </c>
      <c r="N279" s="3">
        <f t="shared" si="9"/>
        <v>2029</v>
      </c>
    </row>
    <row r="280" spans="1:14" x14ac:dyDescent="0.3">
      <c r="A280" s="3">
        <v>110</v>
      </c>
      <c r="B280" s="4" t="s">
        <v>46</v>
      </c>
      <c r="C280" s="3" t="s">
        <v>19</v>
      </c>
      <c r="D280" s="5">
        <v>47330</v>
      </c>
      <c r="E280" s="5">
        <v>47333</v>
      </c>
      <c r="F280" s="3">
        <v>4</v>
      </c>
      <c r="G280" s="4" t="s">
        <v>27</v>
      </c>
      <c r="H280" s="3" t="s">
        <v>28</v>
      </c>
      <c r="I280" s="6">
        <v>3067</v>
      </c>
      <c r="J280" s="6">
        <f>INDEX([1]Parámetros!$C$4:$C$10,MATCH(G280,[1]Parámetros!$A$4:$A$10,0))</f>
        <v>3000</v>
      </c>
      <c r="K280" s="7">
        <f t="shared" si="8"/>
        <v>1.0223333333333333</v>
      </c>
      <c r="L280" s="3" t="s">
        <v>19</v>
      </c>
      <c r="M280" s="3" t="str">
        <f>IF(L280="Sí","Atraso heredado",IF(K280&lt;[1]Parámetros!$E$13,"Adelantado",IF(K280&lt;=[1]Parámetros!$E$14,"En ventana ±10%","Fuera de ventana")))</f>
        <v>En ventana ±10%</v>
      </c>
      <c r="N280" s="3">
        <f t="shared" si="9"/>
        <v>2029</v>
      </c>
    </row>
    <row r="281" spans="1:14" x14ac:dyDescent="0.3">
      <c r="A281" s="3">
        <v>111</v>
      </c>
      <c r="B281" s="4" t="s">
        <v>36</v>
      </c>
      <c r="C281" s="3" t="s">
        <v>19</v>
      </c>
      <c r="D281" s="5">
        <v>47334</v>
      </c>
      <c r="E281" s="5">
        <v>47356</v>
      </c>
      <c r="F281" s="3">
        <v>23</v>
      </c>
      <c r="G281" s="4" t="s">
        <v>20</v>
      </c>
      <c r="H281" s="3" t="s">
        <v>21</v>
      </c>
      <c r="I281" s="6">
        <v>13176</v>
      </c>
      <c r="J281" s="6">
        <f>INDEX([1]Parámetros!$C$4:$C$10,MATCH(G281,[1]Parámetros!$A$4:$A$10,0))</f>
        <v>12000</v>
      </c>
      <c r="K281" s="7">
        <f t="shared" si="8"/>
        <v>1.0980000000000001</v>
      </c>
      <c r="L281" s="3" t="s">
        <v>19</v>
      </c>
      <c r="M281" s="3" t="str">
        <f>IF(L281="Sí","Atraso heredado",IF(K281&lt;[1]Parámetros!$E$13,"Adelantado",IF(K281&lt;=[1]Parámetros!$E$14,"En ventana ±10%","Fuera de ventana")))</f>
        <v>En ventana ±10%</v>
      </c>
      <c r="N281" s="3">
        <f t="shared" si="9"/>
        <v>2029</v>
      </c>
    </row>
    <row r="282" spans="1:14" x14ac:dyDescent="0.3">
      <c r="A282" s="3">
        <v>111</v>
      </c>
      <c r="B282" s="4" t="s">
        <v>36</v>
      </c>
      <c r="C282" s="3" t="s">
        <v>19</v>
      </c>
      <c r="D282" s="5">
        <v>47334</v>
      </c>
      <c r="E282" s="5">
        <v>47356</v>
      </c>
      <c r="F282" s="3">
        <v>23</v>
      </c>
      <c r="G282" s="4" t="s">
        <v>22</v>
      </c>
      <c r="H282" s="3" t="s">
        <v>23</v>
      </c>
      <c r="I282" s="6">
        <v>13176</v>
      </c>
      <c r="J282" s="6">
        <f>INDEX([1]Parámetros!$C$4:$C$10,MATCH(G282,[1]Parámetros!$A$4:$A$10,0))</f>
        <v>12000</v>
      </c>
      <c r="K282" s="7">
        <f t="shared" si="8"/>
        <v>1.0980000000000001</v>
      </c>
      <c r="L282" s="3" t="s">
        <v>19</v>
      </c>
      <c r="M282" s="3" t="str">
        <f>IF(L282="Sí","Atraso heredado",IF(K282&lt;[1]Parámetros!$E$13,"Adelantado",IF(K282&lt;=[1]Parámetros!$E$14,"En ventana ±10%","Fuera de ventana")))</f>
        <v>En ventana ±10%</v>
      </c>
      <c r="N282" s="3">
        <f t="shared" si="9"/>
        <v>2029</v>
      </c>
    </row>
    <row r="283" spans="1:14" x14ac:dyDescent="0.3">
      <c r="A283" s="3">
        <v>111</v>
      </c>
      <c r="B283" s="4" t="s">
        <v>36</v>
      </c>
      <c r="C283" s="3" t="s">
        <v>19</v>
      </c>
      <c r="D283" s="5">
        <v>47334</v>
      </c>
      <c r="E283" s="5">
        <v>47356</v>
      </c>
      <c r="F283" s="3">
        <v>23</v>
      </c>
      <c r="G283" s="4" t="s">
        <v>33</v>
      </c>
      <c r="H283" s="3" t="s">
        <v>34</v>
      </c>
      <c r="I283" s="6">
        <v>13176</v>
      </c>
      <c r="J283" s="6">
        <f>INDEX([1]Parámetros!$C$4:$C$10,MATCH(G283,[1]Parámetros!$A$4:$A$10,0))</f>
        <v>12000</v>
      </c>
      <c r="K283" s="7">
        <f t="shared" si="8"/>
        <v>1.0980000000000001</v>
      </c>
      <c r="L283" s="3" t="s">
        <v>19</v>
      </c>
      <c r="M283" s="3" t="str">
        <f>IF(L283="Sí","Atraso heredado",IF(K283&lt;[1]Parámetros!$E$13,"Adelantado",IF(K283&lt;=[1]Parámetros!$E$14,"En ventana ±10%","Fuera de ventana")))</f>
        <v>En ventana ±10%</v>
      </c>
      <c r="N283" s="3">
        <f t="shared" si="9"/>
        <v>2029</v>
      </c>
    </row>
    <row r="284" spans="1:14" x14ac:dyDescent="0.3">
      <c r="A284" s="3">
        <v>111</v>
      </c>
      <c r="B284" s="4" t="s">
        <v>36</v>
      </c>
      <c r="C284" s="3" t="s">
        <v>19</v>
      </c>
      <c r="D284" s="5">
        <v>47334</v>
      </c>
      <c r="E284" s="5">
        <v>47356</v>
      </c>
      <c r="F284" s="3">
        <v>23</v>
      </c>
      <c r="G284" s="4" t="s">
        <v>24</v>
      </c>
      <c r="H284" s="3" t="s">
        <v>25</v>
      </c>
      <c r="I284" s="6">
        <v>25454</v>
      </c>
      <c r="J284" s="6">
        <f>INDEX([1]Parámetros!$C$4:$C$10,MATCH(G284,[1]Parámetros!$A$4:$A$10,0))</f>
        <v>24000</v>
      </c>
      <c r="K284" s="7">
        <f t="shared" si="8"/>
        <v>1.0605833333333334</v>
      </c>
      <c r="L284" s="3" t="s">
        <v>19</v>
      </c>
      <c r="M284" s="3" t="str">
        <f>IF(L284="Sí","Atraso heredado",IF(K284&lt;[1]Parámetros!$E$13,"Adelantado",IF(K284&lt;=[1]Parámetros!$E$14,"En ventana ±10%","Fuera de ventana")))</f>
        <v>En ventana ±10%</v>
      </c>
      <c r="N284" s="3">
        <f t="shared" si="9"/>
        <v>2029</v>
      </c>
    </row>
    <row r="285" spans="1:14" x14ac:dyDescent="0.3">
      <c r="A285" s="3">
        <v>111</v>
      </c>
      <c r="B285" s="4" t="s">
        <v>36</v>
      </c>
      <c r="C285" s="3" t="s">
        <v>19</v>
      </c>
      <c r="D285" s="5">
        <v>47334</v>
      </c>
      <c r="E285" s="5">
        <v>47356</v>
      </c>
      <c r="F285" s="3">
        <v>23</v>
      </c>
      <c r="G285" s="4" t="s">
        <v>27</v>
      </c>
      <c r="H285" s="3" t="s">
        <v>28</v>
      </c>
      <c r="I285" s="6">
        <v>6372</v>
      </c>
      <c r="J285" s="6">
        <f>INDEX([1]Parámetros!$C$4:$C$10,MATCH(G285,[1]Parámetros!$A$4:$A$10,0))</f>
        <v>3000</v>
      </c>
      <c r="K285" s="7">
        <f t="shared" si="8"/>
        <v>2.1240000000000001</v>
      </c>
      <c r="L285" s="3" t="s">
        <v>19</v>
      </c>
      <c r="M285" s="3" t="str">
        <f>IF(L285="Sí","Atraso heredado",IF(K285&lt;[1]Parámetros!$E$13,"Adelantado",IF(K285&lt;=[1]Parámetros!$E$14,"En ventana ±10%","Fuera de ventana")))</f>
        <v>Fuera de ventana</v>
      </c>
      <c r="N285" s="3">
        <f t="shared" si="9"/>
        <v>2029</v>
      </c>
    </row>
    <row r="286" spans="1:14" x14ac:dyDescent="0.3">
      <c r="A286" s="3">
        <v>112</v>
      </c>
      <c r="B286" s="4" t="s">
        <v>26</v>
      </c>
      <c r="C286" s="3" t="s">
        <v>19</v>
      </c>
      <c r="D286" s="5">
        <v>47357</v>
      </c>
      <c r="E286" s="5">
        <v>47360</v>
      </c>
      <c r="F286" s="3">
        <v>4</v>
      </c>
      <c r="G286" s="4" t="s">
        <v>27</v>
      </c>
      <c r="H286" s="3" t="s">
        <v>28</v>
      </c>
      <c r="I286" s="6">
        <v>2873</v>
      </c>
      <c r="J286" s="6">
        <f>INDEX([1]Parámetros!$C$4:$C$10,MATCH(G286,[1]Parámetros!$A$4:$A$10,0))</f>
        <v>3000</v>
      </c>
      <c r="K286" s="7">
        <f t="shared" si="8"/>
        <v>0.95766666666666667</v>
      </c>
      <c r="L286" s="3" t="s">
        <v>19</v>
      </c>
      <c r="M286" s="3" t="str">
        <f>IF(L286="Sí","Atraso heredado",IF(K286&lt;[1]Parámetros!$E$13,"Adelantado",IF(K286&lt;=[1]Parámetros!$E$14,"En ventana ±10%","Fuera de ventana")))</f>
        <v>En ventana ±10%</v>
      </c>
      <c r="N286" s="3">
        <f t="shared" si="9"/>
        <v>2029</v>
      </c>
    </row>
    <row r="287" spans="1:14" x14ac:dyDescent="0.3">
      <c r="A287" s="3">
        <v>113</v>
      </c>
      <c r="B287" s="4" t="s">
        <v>15</v>
      </c>
      <c r="C287" s="3" t="s">
        <v>16</v>
      </c>
      <c r="D287" s="5">
        <v>47361</v>
      </c>
      <c r="E287" s="5">
        <v>47383</v>
      </c>
      <c r="F287" s="3">
        <v>23</v>
      </c>
      <c r="G287" s="4" t="s">
        <v>17</v>
      </c>
      <c r="H287" s="3" t="s">
        <v>18</v>
      </c>
      <c r="I287" s="6">
        <v>4657</v>
      </c>
      <c r="J287" s="6">
        <f>INDEX([1]Parámetros!$C$4:$C$10,MATCH(G287,[1]Parámetros!$A$4:$A$10,0))</f>
        <v>1500</v>
      </c>
      <c r="K287" s="7">
        <f t="shared" si="8"/>
        <v>3.1046666666666667</v>
      </c>
      <c r="L287" s="3" t="s">
        <v>19</v>
      </c>
      <c r="M287" s="3" t="str">
        <f>IF(L287="Sí","Atraso heredado",IF(K287&lt;[1]Parámetros!$E$13,"Adelantado",IF(K287&lt;=[1]Parámetros!$E$14,"En ventana ±10%","Fuera de ventana")))</f>
        <v>Fuera de ventana</v>
      </c>
      <c r="N287" s="3">
        <f t="shared" si="9"/>
        <v>2029</v>
      </c>
    </row>
    <row r="288" spans="1:14" x14ac:dyDescent="0.3">
      <c r="A288" s="3">
        <v>113</v>
      </c>
      <c r="B288" s="4" t="s">
        <v>15</v>
      </c>
      <c r="C288" s="3" t="s">
        <v>16</v>
      </c>
      <c r="D288" s="5">
        <v>47361</v>
      </c>
      <c r="E288" s="5">
        <v>47383</v>
      </c>
      <c r="F288" s="3">
        <v>23</v>
      </c>
      <c r="G288" s="4" t="s">
        <v>20</v>
      </c>
      <c r="H288" s="3" t="s">
        <v>21</v>
      </c>
      <c r="I288" s="6">
        <v>12308</v>
      </c>
      <c r="J288" s="6">
        <f>INDEX([1]Parámetros!$C$4:$C$10,MATCH(G288,[1]Parámetros!$A$4:$A$10,0))</f>
        <v>12000</v>
      </c>
      <c r="K288" s="7">
        <f t="shared" si="8"/>
        <v>1.0256666666666667</v>
      </c>
      <c r="L288" s="3" t="s">
        <v>19</v>
      </c>
      <c r="M288" s="3" t="str">
        <f>IF(L288="Sí","Atraso heredado",IF(K288&lt;[1]Parámetros!$E$13,"Adelantado",IF(K288&lt;=[1]Parámetros!$E$14,"En ventana ±10%","Fuera de ventana")))</f>
        <v>En ventana ±10%</v>
      </c>
      <c r="N288" s="3">
        <f t="shared" si="9"/>
        <v>2029</v>
      </c>
    </row>
    <row r="289" spans="1:14" x14ac:dyDescent="0.3">
      <c r="A289" s="3">
        <v>113</v>
      </c>
      <c r="B289" s="4" t="s">
        <v>15</v>
      </c>
      <c r="C289" s="3" t="s">
        <v>16</v>
      </c>
      <c r="D289" s="5">
        <v>47361</v>
      </c>
      <c r="E289" s="5">
        <v>47383</v>
      </c>
      <c r="F289" s="3">
        <v>23</v>
      </c>
      <c r="G289" s="4" t="s">
        <v>22</v>
      </c>
      <c r="H289" s="3" t="s">
        <v>23</v>
      </c>
      <c r="I289" s="6">
        <v>12308</v>
      </c>
      <c r="J289" s="6">
        <f>INDEX([1]Parámetros!$C$4:$C$10,MATCH(G289,[1]Parámetros!$A$4:$A$10,0))</f>
        <v>12000</v>
      </c>
      <c r="K289" s="7">
        <f t="shared" si="8"/>
        <v>1.0256666666666667</v>
      </c>
      <c r="L289" s="3" t="s">
        <v>19</v>
      </c>
      <c r="M289" s="3" t="str">
        <f>IF(L289="Sí","Atraso heredado",IF(K289&lt;[1]Parámetros!$E$13,"Adelantado",IF(K289&lt;=[1]Parámetros!$E$14,"En ventana ±10%","Fuera de ventana")))</f>
        <v>En ventana ±10%</v>
      </c>
      <c r="N289" s="3">
        <f t="shared" si="9"/>
        <v>2029</v>
      </c>
    </row>
    <row r="290" spans="1:14" x14ac:dyDescent="0.3">
      <c r="A290" s="3">
        <v>113</v>
      </c>
      <c r="B290" s="4" t="s">
        <v>15</v>
      </c>
      <c r="C290" s="3" t="s">
        <v>16</v>
      </c>
      <c r="D290" s="5">
        <v>47361</v>
      </c>
      <c r="E290" s="5">
        <v>47383</v>
      </c>
      <c r="F290" s="3">
        <v>23</v>
      </c>
      <c r="G290" s="4" t="s">
        <v>24</v>
      </c>
      <c r="H290" s="3" t="s">
        <v>25</v>
      </c>
      <c r="I290" s="6">
        <v>25566</v>
      </c>
      <c r="J290" s="6">
        <f>INDEX([1]Parámetros!$C$4:$C$10,MATCH(G290,[1]Parámetros!$A$4:$A$10,0))</f>
        <v>24000</v>
      </c>
      <c r="K290" s="7">
        <f t="shared" si="8"/>
        <v>1.06525</v>
      </c>
      <c r="L290" s="3" t="s">
        <v>19</v>
      </c>
      <c r="M290" s="3" t="str">
        <f>IF(L290="Sí","Atraso heredado",IF(K290&lt;[1]Parámetros!$E$13,"Adelantado",IF(K290&lt;=[1]Parámetros!$E$14,"En ventana ±10%","Fuera de ventana")))</f>
        <v>En ventana ±10%</v>
      </c>
      <c r="N290" s="3">
        <f t="shared" si="9"/>
        <v>2029</v>
      </c>
    </row>
    <row r="291" spans="1:14" x14ac:dyDescent="0.3">
      <c r="A291" s="3">
        <v>113</v>
      </c>
      <c r="B291" s="4" t="s">
        <v>15</v>
      </c>
      <c r="C291" s="3" t="s">
        <v>16</v>
      </c>
      <c r="D291" s="5">
        <v>47361</v>
      </c>
      <c r="E291" s="5">
        <v>47383</v>
      </c>
      <c r="F291" s="3">
        <v>23</v>
      </c>
      <c r="G291" s="4" t="s">
        <v>27</v>
      </c>
      <c r="H291" s="3" t="s">
        <v>28</v>
      </c>
      <c r="I291" s="6">
        <v>4657</v>
      </c>
      <c r="J291" s="6">
        <f>INDEX([1]Parámetros!$C$4:$C$10,MATCH(G291,[1]Parámetros!$A$4:$A$10,0))</f>
        <v>3000</v>
      </c>
      <c r="K291" s="7">
        <f t="shared" si="8"/>
        <v>1.5523333333333333</v>
      </c>
      <c r="L291" s="3" t="s">
        <v>19</v>
      </c>
      <c r="M291" s="3" t="str">
        <f>IF(L291="Sí","Atraso heredado",IF(K291&lt;[1]Parámetros!$E$13,"Adelantado",IF(K291&lt;=[1]Parámetros!$E$14,"En ventana ±10%","Fuera de ventana")))</f>
        <v>Fuera de ventana</v>
      </c>
      <c r="N291" s="3">
        <f t="shared" si="9"/>
        <v>2029</v>
      </c>
    </row>
    <row r="292" spans="1:14" x14ac:dyDescent="0.3">
      <c r="A292" s="3">
        <v>114</v>
      </c>
      <c r="B292" s="4" t="s">
        <v>41</v>
      </c>
      <c r="C292" s="3" t="s">
        <v>19</v>
      </c>
      <c r="D292" s="5">
        <v>47384</v>
      </c>
      <c r="E292" s="5">
        <v>47387</v>
      </c>
      <c r="F292" s="3">
        <v>4</v>
      </c>
      <c r="G292" s="4" t="s">
        <v>27</v>
      </c>
      <c r="H292" s="3" t="s">
        <v>28</v>
      </c>
      <c r="I292" s="6">
        <v>3132</v>
      </c>
      <c r="J292" s="6">
        <f>INDEX([1]Parámetros!$C$4:$C$10,MATCH(G292,[1]Parámetros!$A$4:$A$10,0))</f>
        <v>3000</v>
      </c>
      <c r="K292" s="7">
        <f t="shared" si="8"/>
        <v>1.044</v>
      </c>
      <c r="L292" s="3" t="s">
        <v>19</v>
      </c>
      <c r="M292" s="3" t="str">
        <f>IF(L292="Sí","Atraso heredado",IF(K292&lt;[1]Parámetros!$E$13,"Adelantado",IF(K292&lt;=[1]Parámetros!$E$14,"En ventana ±10%","Fuera de ventana")))</f>
        <v>En ventana ±10%</v>
      </c>
      <c r="N292" s="3">
        <f t="shared" si="9"/>
        <v>2029</v>
      </c>
    </row>
    <row r="293" spans="1:14" x14ac:dyDescent="0.3">
      <c r="A293" s="3">
        <v>115</v>
      </c>
      <c r="B293" s="4" t="s">
        <v>29</v>
      </c>
      <c r="C293" s="3" t="s">
        <v>16</v>
      </c>
      <c r="D293" s="5">
        <v>47388</v>
      </c>
      <c r="E293" s="5">
        <v>47389</v>
      </c>
      <c r="F293" s="3">
        <v>2</v>
      </c>
      <c r="G293" s="4" t="s">
        <v>17</v>
      </c>
      <c r="H293" s="3" t="s">
        <v>18</v>
      </c>
      <c r="I293" s="6">
        <v>1378</v>
      </c>
      <c r="J293" s="6">
        <f>INDEX([1]Parámetros!$C$4:$C$10,MATCH(G293,[1]Parámetros!$A$4:$A$10,0))</f>
        <v>1500</v>
      </c>
      <c r="K293" s="7">
        <f t="shared" si="8"/>
        <v>0.91866666666666663</v>
      </c>
      <c r="L293" s="3" t="s">
        <v>19</v>
      </c>
      <c r="M293" s="3" t="str">
        <f>IF(L293="Sí","Atraso heredado",IF(K293&lt;[1]Parámetros!$E$13,"Adelantado",IF(K293&lt;=[1]Parámetros!$E$14,"En ventana ±10%","Fuera de ventana")))</f>
        <v>En ventana ±10%</v>
      </c>
      <c r="N293" s="3">
        <f t="shared" si="9"/>
        <v>2029</v>
      </c>
    </row>
    <row r="294" spans="1:14" x14ac:dyDescent="0.3">
      <c r="A294" s="3">
        <v>116</v>
      </c>
      <c r="B294" s="4" t="s">
        <v>43</v>
      </c>
      <c r="C294" s="3" t="s">
        <v>19</v>
      </c>
      <c r="D294" s="5">
        <v>47390</v>
      </c>
      <c r="E294" s="5">
        <v>47396</v>
      </c>
      <c r="F294" s="3">
        <v>7</v>
      </c>
      <c r="G294" s="4" t="s">
        <v>31</v>
      </c>
      <c r="H294" s="3" t="s">
        <v>32</v>
      </c>
      <c r="I294" s="6">
        <v>6286</v>
      </c>
      <c r="J294" s="6">
        <f>INDEX([1]Parámetros!$C$4:$C$10,MATCH(G294,[1]Parámetros!$A$4:$A$10,0))</f>
        <v>6000</v>
      </c>
      <c r="K294" s="7">
        <f t="shared" si="8"/>
        <v>1.0476666666666667</v>
      </c>
      <c r="L294" s="3" t="s">
        <v>19</v>
      </c>
      <c r="M294" s="3" t="str">
        <f>IF(L294="Sí","Atraso heredado",IF(K294&lt;[1]Parámetros!$E$13,"Adelantado",IF(K294&lt;=[1]Parámetros!$E$14,"En ventana ±10%","Fuera de ventana")))</f>
        <v>En ventana ±10%</v>
      </c>
      <c r="N294" s="3">
        <f t="shared" si="9"/>
        <v>2029</v>
      </c>
    </row>
    <row r="295" spans="1:14" x14ac:dyDescent="0.3">
      <c r="A295" s="3">
        <v>117</v>
      </c>
      <c r="B295" s="4" t="s">
        <v>30</v>
      </c>
      <c r="C295" s="3" t="s">
        <v>16</v>
      </c>
      <c r="D295" s="5">
        <v>47397</v>
      </c>
      <c r="E295" s="5">
        <v>47408</v>
      </c>
      <c r="F295" s="3">
        <v>12</v>
      </c>
      <c r="G295" s="4" t="s">
        <v>17</v>
      </c>
      <c r="H295" s="3" t="s">
        <v>18</v>
      </c>
      <c r="I295" s="6">
        <v>4918</v>
      </c>
      <c r="J295" s="6">
        <f>INDEX([1]Parámetros!$C$4:$C$10,MATCH(G295,[1]Parámetros!$A$4:$A$10,0))</f>
        <v>1500</v>
      </c>
      <c r="K295" s="7">
        <f t="shared" si="8"/>
        <v>3.2786666666666666</v>
      </c>
      <c r="L295" s="3" t="s">
        <v>19</v>
      </c>
      <c r="M295" s="3" t="str">
        <f>IF(L295="Sí","Atraso heredado",IF(K295&lt;[1]Parámetros!$E$13,"Adelantado",IF(K295&lt;=[1]Parámetros!$E$14,"En ventana ±10%","Fuera de ventana")))</f>
        <v>Fuera de ventana</v>
      </c>
      <c r="N295" s="3">
        <f t="shared" si="9"/>
        <v>2029</v>
      </c>
    </row>
    <row r="296" spans="1:14" x14ac:dyDescent="0.3">
      <c r="A296" s="3">
        <v>117</v>
      </c>
      <c r="B296" s="4" t="s">
        <v>30</v>
      </c>
      <c r="C296" s="3" t="s">
        <v>16</v>
      </c>
      <c r="D296" s="5">
        <v>47397</v>
      </c>
      <c r="E296" s="5">
        <v>47408</v>
      </c>
      <c r="F296" s="3">
        <v>12</v>
      </c>
      <c r="G296" s="4" t="s">
        <v>31</v>
      </c>
      <c r="H296" s="3" t="s">
        <v>32</v>
      </c>
      <c r="I296" s="6">
        <v>6534</v>
      </c>
      <c r="J296" s="6">
        <f>INDEX([1]Parámetros!$C$4:$C$10,MATCH(G296,[1]Parámetros!$A$4:$A$10,0))</f>
        <v>6000</v>
      </c>
      <c r="K296" s="7">
        <f t="shared" si="8"/>
        <v>1.089</v>
      </c>
      <c r="L296" s="3" t="s">
        <v>19</v>
      </c>
      <c r="M296" s="3" t="str">
        <f>IF(L296="Sí","Atraso heredado",IF(K296&lt;[1]Parámetros!$E$13,"Adelantado",IF(K296&lt;=[1]Parámetros!$E$14,"En ventana ±10%","Fuera de ventana")))</f>
        <v>En ventana ±10%</v>
      </c>
      <c r="N296" s="3">
        <f t="shared" si="9"/>
        <v>2029</v>
      </c>
    </row>
    <row r="297" spans="1:14" x14ac:dyDescent="0.3">
      <c r="A297" s="3">
        <v>117</v>
      </c>
      <c r="B297" s="4" t="s">
        <v>30</v>
      </c>
      <c r="C297" s="3" t="s">
        <v>16</v>
      </c>
      <c r="D297" s="5">
        <v>47397</v>
      </c>
      <c r="E297" s="5">
        <v>47408</v>
      </c>
      <c r="F297" s="3">
        <v>12</v>
      </c>
      <c r="G297" s="4" t="s">
        <v>33</v>
      </c>
      <c r="H297" s="3" t="s">
        <v>34</v>
      </c>
      <c r="I297" s="6">
        <v>13329</v>
      </c>
      <c r="J297" s="6">
        <f>INDEX([1]Parámetros!$C$4:$C$10,MATCH(G297,[1]Parámetros!$A$4:$A$10,0))</f>
        <v>12000</v>
      </c>
      <c r="K297" s="7">
        <f t="shared" si="8"/>
        <v>1.1107499999999999</v>
      </c>
      <c r="L297" s="3" t="s">
        <v>19</v>
      </c>
      <c r="M297" s="3" t="str">
        <f>IF(L297="Sí","Atraso heredado",IF(K297&lt;[1]Parámetros!$E$13,"Adelantado",IF(K297&lt;=[1]Parámetros!$E$14,"En ventana ±10%","Fuera de ventana")))</f>
        <v>Fuera de ventana</v>
      </c>
      <c r="N297" s="3">
        <f t="shared" si="9"/>
        <v>2029</v>
      </c>
    </row>
    <row r="298" spans="1:14" x14ac:dyDescent="0.3">
      <c r="A298" s="3">
        <v>117</v>
      </c>
      <c r="B298" s="4" t="s">
        <v>30</v>
      </c>
      <c r="C298" s="3" t="s">
        <v>16</v>
      </c>
      <c r="D298" s="5">
        <v>47397</v>
      </c>
      <c r="E298" s="5">
        <v>47408</v>
      </c>
      <c r="F298" s="3">
        <v>12</v>
      </c>
      <c r="G298" s="4" t="s">
        <v>27</v>
      </c>
      <c r="H298" s="3" t="s">
        <v>28</v>
      </c>
      <c r="I298" s="6">
        <v>6534</v>
      </c>
      <c r="J298" s="6">
        <f>INDEX([1]Parámetros!$C$4:$C$10,MATCH(G298,[1]Parámetros!$A$4:$A$10,0))</f>
        <v>3000</v>
      </c>
      <c r="K298" s="7">
        <f t="shared" si="8"/>
        <v>2.1779999999999999</v>
      </c>
      <c r="L298" s="3" t="s">
        <v>19</v>
      </c>
      <c r="M298" s="3" t="str">
        <f>IF(L298="Sí","Atraso heredado",IF(K298&lt;[1]Parámetros!$E$13,"Adelantado",IF(K298&lt;=[1]Parámetros!$E$14,"En ventana ±10%","Fuera de ventana")))</f>
        <v>Fuera de ventana</v>
      </c>
      <c r="N298" s="3">
        <f t="shared" si="9"/>
        <v>2029</v>
      </c>
    </row>
    <row r="299" spans="1:14" x14ac:dyDescent="0.3">
      <c r="A299" s="3">
        <v>118</v>
      </c>
      <c r="B299" s="4" t="s">
        <v>29</v>
      </c>
      <c r="C299" s="3" t="s">
        <v>16</v>
      </c>
      <c r="D299" s="5">
        <v>47409</v>
      </c>
      <c r="E299" s="5">
        <v>47412</v>
      </c>
      <c r="F299" s="3">
        <v>4</v>
      </c>
      <c r="G299" s="4" t="s">
        <v>27</v>
      </c>
      <c r="H299" s="3" t="s">
        <v>28</v>
      </c>
      <c r="I299" s="6">
        <v>3018</v>
      </c>
      <c r="J299" s="6">
        <f>INDEX([1]Parámetros!$C$4:$C$10,MATCH(G299,[1]Parámetros!$A$4:$A$10,0))</f>
        <v>3000</v>
      </c>
      <c r="K299" s="7">
        <f t="shared" si="8"/>
        <v>1.006</v>
      </c>
      <c r="L299" s="3" t="s">
        <v>19</v>
      </c>
      <c r="M299" s="3" t="str">
        <f>IF(L299="Sí","Atraso heredado",IF(K299&lt;[1]Parámetros!$E$13,"Adelantado",IF(K299&lt;=[1]Parámetros!$E$14,"En ventana ±10%","Fuera de ventana")))</f>
        <v>En ventana ±10%</v>
      </c>
      <c r="N299" s="3">
        <f t="shared" si="9"/>
        <v>2029</v>
      </c>
    </row>
    <row r="300" spans="1:14" x14ac:dyDescent="0.3">
      <c r="A300" s="3">
        <v>119</v>
      </c>
      <c r="B300" s="4" t="s">
        <v>37</v>
      </c>
      <c r="C300" s="3" t="s">
        <v>16</v>
      </c>
      <c r="D300" s="5">
        <v>47413</v>
      </c>
      <c r="E300" s="5">
        <v>47435</v>
      </c>
      <c r="F300" s="3">
        <v>23</v>
      </c>
      <c r="G300" s="4" t="s">
        <v>17</v>
      </c>
      <c r="H300" s="3" t="s">
        <v>18</v>
      </c>
      <c r="I300" s="6">
        <v>4301</v>
      </c>
      <c r="J300" s="6">
        <f>INDEX([1]Parámetros!$C$4:$C$10,MATCH(G300,[1]Parámetros!$A$4:$A$10,0))</f>
        <v>1500</v>
      </c>
      <c r="K300" s="7">
        <f t="shared" si="8"/>
        <v>2.8673333333333333</v>
      </c>
      <c r="L300" s="3" t="s">
        <v>19</v>
      </c>
      <c r="M300" s="3" t="str">
        <f>IF(L300="Sí","Atraso heredado",IF(K300&lt;[1]Parámetros!$E$13,"Adelantado",IF(K300&lt;=[1]Parámetros!$E$14,"En ventana ±10%","Fuera de ventana")))</f>
        <v>Fuera de ventana</v>
      </c>
      <c r="N300" s="3">
        <f t="shared" si="9"/>
        <v>2029</v>
      </c>
    </row>
    <row r="301" spans="1:14" x14ac:dyDescent="0.3">
      <c r="A301" s="3">
        <v>119</v>
      </c>
      <c r="B301" s="4" t="s">
        <v>37</v>
      </c>
      <c r="C301" s="3" t="s">
        <v>16</v>
      </c>
      <c r="D301" s="5">
        <v>47413</v>
      </c>
      <c r="E301" s="5">
        <v>47435</v>
      </c>
      <c r="F301" s="3">
        <v>23</v>
      </c>
      <c r="G301" s="4" t="s">
        <v>20</v>
      </c>
      <c r="H301" s="3" t="s">
        <v>21</v>
      </c>
      <c r="I301" s="6">
        <v>13092</v>
      </c>
      <c r="J301" s="6">
        <f>INDEX([1]Parámetros!$C$4:$C$10,MATCH(G301,[1]Parámetros!$A$4:$A$10,0))</f>
        <v>12000</v>
      </c>
      <c r="K301" s="7">
        <f t="shared" si="8"/>
        <v>1.091</v>
      </c>
      <c r="L301" s="3" t="s">
        <v>19</v>
      </c>
      <c r="M301" s="3" t="str">
        <f>IF(L301="Sí","Atraso heredado",IF(K301&lt;[1]Parámetros!$E$13,"Adelantado",IF(K301&lt;=[1]Parámetros!$E$14,"En ventana ±10%","Fuera de ventana")))</f>
        <v>En ventana ±10%</v>
      </c>
      <c r="N301" s="3">
        <f t="shared" si="9"/>
        <v>2029</v>
      </c>
    </row>
    <row r="302" spans="1:14" x14ac:dyDescent="0.3">
      <c r="A302" s="3">
        <v>119</v>
      </c>
      <c r="B302" s="4" t="s">
        <v>37</v>
      </c>
      <c r="C302" s="3" t="s">
        <v>16</v>
      </c>
      <c r="D302" s="5">
        <v>47413</v>
      </c>
      <c r="E302" s="5">
        <v>47435</v>
      </c>
      <c r="F302" s="3">
        <v>23</v>
      </c>
      <c r="G302" s="4" t="s">
        <v>22</v>
      </c>
      <c r="H302" s="3" t="s">
        <v>23</v>
      </c>
      <c r="I302" s="6">
        <v>13092</v>
      </c>
      <c r="J302" s="6">
        <f>INDEX([1]Parámetros!$C$4:$C$10,MATCH(G302,[1]Parámetros!$A$4:$A$10,0))</f>
        <v>12000</v>
      </c>
      <c r="K302" s="7">
        <f t="shared" si="8"/>
        <v>1.091</v>
      </c>
      <c r="L302" s="3" t="s">
        <v>19</v>
      </c>
      <c r="M302" s="3" t="str">
        <f>IF(L302="Sí","Atraso heredado",IF(K302&lt;[1]Parámetros!$E$13,"Adelantado",IF(K302&lt;=[1]Parámetros!$E$14,"En ventana ±10%","Fuera de ventana")))</f>
        <v>En ventana ±10%</v>
      </c>
      <c r="N302" s="3">
        <f t="shared" si="9"/>
        <v>2029</v>
      </c>
    </row>
    <row r="303" spans="1:14" x14ac:dyDescent="0.3">
      <c r="A303" s="3">
        <v>119</v>
      </c>
      <c r="B303" s="4" t="s">
        <v>37</v>
      </c>
      <c r="C303" s="3" t="s">
        <v>16</v>
      </c>
      <c r="D303" s="5">
        <v>47413</v>
      </c>
      <c r="E303" s="5">
        <v>47435</v>
      </c>
      <c r="F303" s="3">
        <v>23</v>
      </c>
      <c r="G303" s="4" t="s">
        <v>33</v>
      </c>
      <c r="H303" s="3" t="s">
        <v>34</v>
      </c>
      <c r="I303" s="6">
        <v>13092</v>
      </c>
      <c r="J303" s="6">
        <f>INDEX([1]Parámetros!$C$4:$C$10,MATCH(G303,[1]Parámetros!$A$4:$A$10,0))</f>
        <v>12000</v>
      </c>
      <c r="K303" s="7">
        <f t="shared" si="8"/>
        <v>1.091</v>
      </c>
      <c r="L303" s="3" t="s">
        <v>19</v>
      </c>
      <c r="M303" s="3" t="str">
        <f>IF(L303="Sí","Atraso heredado",IF(K303&lt;[1]Parámetros!$E$13,"Adelantado",IF(K303&lt;=[1]Parámetros!$E$14,"En ventana ±10%","Fuera de ventana")))</f>
        <v>En ventana ±10%</v>
      </c>
      <c r="N303" s="3">
        <f t="shared" si="9"/>
        <v>2029</v>
      </c>
    </row>
    <row r="304" spans="1:14" x14ac:dyDescent="0.3">
      <c r="A304" s="3">
        <v>119</v>
      </c>
      <c r="B304" s="4" t="s">
        <v>37</v>
      </c>
      <c r="C304" s="3" t="s">
        <v>16</v>
      </c>
      <c r="D304" s="5">
        <v>47413</v>
      </c>
      <c r="E304" s="5">
        <v>47435</v>
      </c>
      <c r="F304" s="3">
        <v>23</v>
      </c>
      <c r="G304" s="4" t="s">
        <v>24</v>
      </c>
      <c r="H304" s="3" t="s">
        <v>25</v>
      </c>
      <c r="I304" s="6">
        <v>25685</v>
      </c>
      <c r="J304" s="6">
        <f>INDEX([1]Parámetros!$C$4:$C$10,MATCH(G304,[1]Parámetros!$A$4:$A$10,0))</f>
        <v>24000</v>
      </c>
      <c r="K304" s="7">
        <f t="shared" si="8"/>
        <v>1.0702083333333334</v>
      </c>
      <c r="L304" s="3" t="s">
        <v>19</v>
      </c>
      <c r="M304" s="3" t="str">
        <f>IF(L304="Sí","Atraso heredado",IF(K304&lt;[1]Parámetros!$E$13,"Adelantado",IF(K304&lt;=[1]Parámetros!$E$14,"En ventana ±10%","Fuera de ventana")))</f>
        <v>En ventana ±10%</v>
      </c>
      <c r="N304" s="3">
        <f t="shared" si="9"/>
        <v>2029</v>
      </c>
    </row>
    <row r="305" spans="1:14" x14ac:dyDescent="0.3">
      <c r="A305" s="3">
        <v>119</v>
      </c>
      <c r="B305" s="4" t="s">
        <v>37</v>
      </c>
      <c r="C305" s="3" t="s">
        <v>16</v>
      </c>
      <c r="D305" s="5">
        <v>47413</v>
      </c>
      <c r="E305" s="5">
        <v>47435</v>
      </c>
      <c r="F305" s="3">
        <v>23</v>
      </c>
      <c r="G305" s="4" t="s">
        <v>27</v>
      </c>
      <c r="H305" s="3" t="s">
        <v>28</v>
      </c>
      <c r="I305" s="6">
        <v>4301</v>
      </c>
      <c r="J305" s="6">
        <f>INDEX([1]Parámetros!$C$4:$C$10,MATCH(G305,[1]Parámetros!$A$4:$A$10,0))</f>
        <v>3000</v>
      </c>
      <c r="K305" s="7">
        <f t="shared" si="8"/>
        <v>1.4336666666666666</v>
      </c>
      <c r="L305" s="3" t="s">
        <v>19</v>
      </c>
      <c r="M305" s="3" t="str">
        <f>IF(L305="Sí","Atraso heredado",IF(K305&lt;[1]Parámetros!$E$13,"Adelantado",IF(K305&lt;=[1]Parámetros!$E$14,"En ventana ±10%","Fuera de ventana")))</f>
        <v>Fuera de ventana</v>
      </c>
      <c r="N305" s="3">
        <f t="shared" si="9"/>
        <v>2029</v>
      </c>
    </row>
    <row r="306" spans="1:14" x14ac:dyDescent="0.3">
      <c r="A306" s="3">
        <v>120</v>
      </c>
      <c r="B306" s="4" t="s">
        <v>45</v>
      </c>
      <c r="C306" s="3" t="s">
        <v>19</v>
      </c>
      <c r="D306" s="5">
        <v>47436</v>
      </c>
      <c r="E306" s="5">
        <v>47442</v>
      </c>
      <c r="F306" s="3">
        <v>7</v>
      </c>
      <c r="G306" s="4" t="s">
        <v>31</v>
      </c>
      <c r="H306" s="3" t="s">
        <v>32</v>
      </c>
      <c r="I306" s="6">
        <v>6113</v>
      </c>
      <c r="J306" s="6">
        <f>INDEX([1]Parámetros!$C$4:$C$10,MATCH(G306,[1]Parámetros!$A$4:$A$10,0))</f>
        <v>6000</v>
      </c>
      <c r="K306" s="7">
        <f t="shared" si="8"/>
        <v>1.0188333333333333</v>
      </c>
      <c r="L306" s="3" t="s">
        <v>19</v>
      </c>
      <c r="M306" s="3" t="str">
        <f>IF(L306="Sí","Atraso heredado",IF(K306&lt;[1]Parámetros!$E$13,"Adelantado",IF(K306&lt;=[1]Parámetros!$E$14,"En ventana ±10%","Fuera de ventana")))</f>
        <v>En ventana ±10%</v>
      </c>
      <c r="N306" s="3">
        <f t="shared" si="9"/>
        <v>2029</v>
      </c>
    </row>
    <row r="307" spans="1:14" x14ac:dyDescent="0.3">
      <c r="A307" s="3">
        <v>121</v>
      </c>
      <c r="B307" s="4" t="s">
        <v>40</v>
      </c>
      <c r="C307" s="3" t="s">
        <v>19</v>
      </c>
      <c r="D307" s="5">
        <v>47443</v>
      </c>
      <c r="E307" s="5">
        <v>47446</v>
      </c>
      <c r="F307" s="3">
        <v>4</v>
      </c>
      <c r="G307" s="4" t="s">
        <v>27</v>
      </c>
      <c r="H307" s="3" t="s">
        <v>28</v>
      </c>
      <c r="I307" s="6">
        <v>3326</v>
      </c>
      <c r="J307" s="6">
        <f>INDEX([1]Parámetros!$C$4:$C$10,MATCH(G307,[1]Parámetros!$A$4:$A$10,0))</f>
        <v>3000</v>
      </c>
      <c r="K307" s="7">
        <f t="shared" si="8"/>
        <v>1.1086666666666667</v>
      </c>
      <c r="L307" s="3" t="s">
        <v>19</v>
      </c>
      <c r="M307" s="3" t="str">
        <f>IF(L307="Sí","Atraso heredado",IF(K307&lt;[1]Parámetros!$E$13,"Adelantado",IF(K307&lt;=[1]Parámetros!$E$14,"En ventana ±10%","Fuera de ventana")))</f>
        <v>Fuera de ventana</v>
      </c>
      <c r="N307" s="3">
        <f t="shared" si="9"/>
        <v>2029</v>
      </c>
    </row>
    <row r="308" spans="1:14" x14ac:dyDescent="0.3">
      <c r="A308" s="3">
        <v>122</v>
      </c>
      <c r="B308" s="4" t="s">
        <v>15</v>
      </c>
      <c r="C308" s="3" t="s">
        <v>16</v>
      </c>
      <c r="D308" s="5">
        <v>47447</v>
      </c>
      <c r="E308" s="5">
        <v>47448</v>
      </c>
      <c r="F308" s="3">
        <v>2</v>
      </c>
      <c r="G308" s="4" t="s">
        <v>17</v>
      </c>
      <c r="H308" s="3" t="s">
        <v>18</v>
      </c>
      <c r="I308" s="6">
        <v>1497</v>
      </c>
      <c r="J308" s="6">
        <f>INDEX([1]Parámetros!$C$4:$C$10,MATCH(G308,[1]Parámetros!$A$4:$A$10,0))</f>
        <v>1500</v>
      </c>
      <c r="K308" s="7">
        <f t="shared" si="8"/>
        <v>0.998</v>
      </c>
      <c r="L308" s="3" t="s">
        <v>19</v>
      </c>
      <c r="M308" s="3" t="str">
        <f>IF(L308="Sí","Atraso heredado",IF(K308&lt;[1]Parámetros!$E$13,"Adelantado",IF(K308&lt;=[1]Parámetros!$E$14,"En ventana ±10%","Fuera de ventana")))</f>
        <v>En ventana ±10%</v>
      </c>
      <c r="N308" s="3">
        <f t="shared" si="9"/>
        <v>2029</v>
      </c>
    </row>
    <row r="309" spans="1:14" x14ac:dyDescent="0.3">
      <c r="A309" s="3">
        <v>123</v>
      </c>
      <c r="B309" s="4" t="s">
        <v>38</v>
      </c>
      <c r="C309" s="3" t="s">
        <v>16</v>
      </c>
      <c r="D309" s="5">
        <v>47449</v>
      </c>
      <c r="E309" s="5">
        <v>47471</v>
      </c>
      <c r="F309" s="3">
        <v>23</v>
      </c>
      <c r="G309" s="4" t="s">
        <v>17</v>
      </c>
      <c r="H309" s="3" t="s">
        <v>18</v>
      </c>
      <c r="I309" s="6">
        <v>4609</v>
      </c>
      <c r="J309" s="6">
        <f>INDEX([1]Parámetros!$C$4:$C$10,MATCH(G309,[1]Parámetros!$A$4:$A$10,0))</f>
        <v>1500</v>
      </c>
      <c r="K309" s="7">
        <f t="shared" si="8"/>
        <v>3.0726666666666667</v>
      </c>
      <c r="L309" s="3" t="s">
        <v>19</v>
      </c>
      <c r="M309" s="3" t="str">
        <f>IF(L309="Sí","Atraso heredado",IF(K309&lt;[1]Parámetros!$E$13,"Adelantado",IF(K309&lt;=[1]Parámetros!$E$14,"En ventana ±10%","Fuera de ventana")))</f>
        <v>Fuera de ventana</v>
      </c>
      <c r="N309" s="3">
        <f t="shared" si="9"/>
        <v>2029</v>
      </c>
    </row>
    <row r="310" spans="1:14" x14ac:dyDescent="0.3">
      <c r="A310" s="3">
        <v>123</v>
      </c>
      <c r="B310" s="4" t="s">
        <v>38</v>
      </c>
      <c r="C310" s="3" t="s">
        <v>16</v>
      </c>
      <c r="D310" s="5">
        <v>47449</v>
      </c>
      <c r="E310" s="5">
        <v>47471</v>
      </c>
      <c r="F310" s="3">
        <v>23</v>
      </c>
      <c r="G310" s="4" t="s">
        <v>20</v>
      </c>
      <c r="H310" s="3" t="s">
        <v>21</v>
      </c>
      <c r="I310" s="6">
        <v>13044</v>
      </c>
      <c r="J310" s="6">
        <f>INDEX([1]Parámetros!$C$4:$C$10,MATCH(G310,[1]Parámetros!$A$4:$A$10,0))</f>
        <v>12000</v>
      </c>
      <c r="K310" s="7">
        <f t="shared" si="8"/>
        <v>1.087</v>
      </c>
      <c r="L310" s="3" t="s">
        <v>19</v>
      </c>
      <c r="M310" s="3" t="str">
        <f>IF(L310="Sí","Atraso heredado",IF(K310&lt;[1]Parámetros!$E$13,"Adelantado",IF(K310&lt;=[1]Parámetros!$E$14,"En ventana ±10%","Fuera de ventana")))</f>
        <v>En ventana ±10%</v>
      </c>
      <c r="N310" s="3">
        <f t="shared" si="9"/>
        <v>2029</v>
      </c>
    </row>
    <row r="311" spans="1:14" x14ac:dyDescent="0.3">
      <c r="A311" s="3">
        <v>123</v>
      </c>
      <c r="B311" s="4" t="s">
        <v>38</v>
      </c>
      <c r="C311" s="3" t="s">
        <v>16</v>
      </c>
      <c r="D311" s="5">
        <v>47449</v>
      </c>
      <c r="E311" s="5">
        <v>47471</v>
      </c>
      <c r="F311" s="3">
        <v>23</v>
      </c>
      <c r="G311" s="4" t="s">
        <v>22</v>
      </c>
      <c r="H311" s="3" t="s">
        <v>23</v>
      </c>
      <c r="I311" s="6">
        <v>13044</v>
      </c>
      <c r="J311" s="6">
        <f>INDEX([1]Parámetros!$C$4:$C$10,MATCH(G311,[1]Parámetros!$A$4:$A$10,0))</f>
        <v>12000</v>
      </c>
      <c r="K311" s="7">
        <f t="shared" si="8"/>
        <v>1.087</v>
      </c>
      <c r="L311" s="3" t="s">
        <v>19</v>
      </c>
      <c r="M311" s="3" t="str">
        <f>IF(L311="Sí","Atraso heredado",IF(K311&lt;[1]Parámetros!$E$13,"Adelantado",IF(K311&lt;=[1]Parámetros!$E$14,"En ventana ±10%","Fuera de ventana")))</f>
        <v>En ventana ±10%</v>
      </c>
      <c r="N311" s="3">
        <f t="shared" si="9"/>
        <v>2029</v>
      </c>
    </row>
    <row r="312" spans="1:14" x14ac:dyDescent="0.3">
      <c r="A312" s="3">
        <v>123</v>
      </c>
      <c r="B312" s="4" t="s">
        <v>38</v>
      </c>
      <c r="C312" s="3" t="s">
        <v>16</v>
      </c>
      <c r="D312" s="5">
        <v>47449</v>
      </c>
      <c r="E312" s="5">
        <v>47471</v>
      </c>
      <c r="F312" s="3">
        <v>23</v>
      </c>
      <c r="G312" s="4" t="s">
        <v>24</v>
      </c>
      <c r="H312" s="3" t="s">
        <v>25</v>
      </c>
      <c r="I312" s="6">
        <v>25613</v>
      </c>
      <c r="J312" s="6">
        <f>INDEX([1]Parámetros!$C$4:$C$10,MATCH(G312,[1]Parámetros!$A$4:$A$10,0))</f>
        <v>24000</v>
      </c>
      <c r="K312" s="7">
        <f t="shared" si="8"/>
        <v>1.0672083333333333</v>
      </c>
      <c r="L312" s="3" t="s">
        <v>19</v>
      </c>
      <c r="M312" s="3" t="str">
        <f>IF(L312="Sí","Atraso heredado",IF(K312&lt;[1]Parámetros!$E$13,"Adelantado",IF(K312&lt;=[1]Parámetros!$E$14,"En ventana ±10%","Fuera de ventana")))</f>
        <v>En ventana ±10%</v>
      </c>
      <c r="N312" s="3">
        <f t="shared" si="9"/>
        <v>2029</v>
      </c>
    </row>
    <row r="313" spans="1:14" x14ac:dyDescent="0.3">
      <c r="A313" s="3">
        <v>123</v>
      </c>
      <c r="B313" s="4" t="s">
        <v>38</v>
      </c>
      <c r="C313" s="3" t="s">
        <v>16</v>
      </c>
      <c r="D313" s="5">
        <v>47449</v>
      </c>
      <c r="E313" s="5">
        <v>47471</v>
      </c>
      <c r="F313" s="3">
        <v>23</v>
      </c>
      <c r="G313" s="4" t="s">
        <v>27</v>
      </c>
      <c r="H313" s="3" t="s">
        <v>28</v>
      </c>
      <c r="I313" s="6">
        <v>4609</v>
      </c>
      <c r="J313" s="6">
        <f>INDEX([1]Parámetros!$C$4:$C$10,MATCH(G313,[1]Parámetros!$A$4:$A$10,0))</f>
        <v>3000</v>
      </c>
      <c r="K313" s="7">
        <f t="shared" si="8"/>
        <v>1.5363333333333333</v>
      </c>
      <c r="L313" s="3" t="s">
        <v>19</v>
      </c>
      <c r="M313" s="3" t="str">
        <f>IF(L313="Sí","Atraso heredado",IF(K313&lt;[1]Parámetros!$E$13,"Adelantado",IF(K313&lt;=[1]Parámetros!$E$14,"En ventana ±10%","Fuera de ventana")))</f>
        <v>Fuera de ventana</v>
      </c>
      <c r="N313" s="3">
        <f t="shared" si="9"/>
        <v>2029</v>
      </c>
    </row>
    <row r="314" spans="1:14" x14ac:dyDescent="0.3">
      <c r="A314" s="3">
        <v>124</v>
      </c>
      <c r="B314" s="4" t="s">
        <v>29</v>
      </c>
      <c r="C314" s="3" t="s">
        <v>16</v>
      </c>
      <c r="D314" s="5">
        <v>47472</v>
      </c>
      <c r="E314" s="5">
        <v>47473</v>
      </c>
      <c r="F314" s="3">
        <v>2</v>
      </c>
      <c r="G314" s="4" t="s">
        <v>17</v>
      </c>
      <c r="H314" s="3" t="s">
        <v>18</v>
      </c>
      <c r="I314" s="6">
        <v>1853</v>
      </c>
      <c r="J314" s="6">
        <f>INDEX([1]Parámetros!$C$4:$C$10,MATCH(G314,[1]Parámetros!$A$4:$A$10,0))</f>
        <v>1500</v>
      </c>
      <c r="K314" s="7">
        <f t="shared" si="8"/>
        <v>1.2353333333333334</v>
      </c>
      <c r="L314" s="3" t="s">
        <v>19</v>
      </c>
      <c r="M314" s="3" t="str">
        <f>IF(L314="Sí","Atraso heredado",IF(K314&lt;[1]Parámetros!$E$13,"Adelantado",IF(K314&lt;=[1]Parámetros!$E$14,"En ventana ±10%","Fuera de ventana")))</f>
        <v>Fuera de ventana</v>
      </c>
      <c r="N314" s="3">
        <f t="shared" si="9"/>
        <v>2029</v>
      </c>
    </row>
    <row r="315" spans="1:14" x14ac:dyDescent="0.3">
      <c r="A315" s="3">
        <v>125</v>
      </c>
      <c r="B315" s="4" t="s">
        <v>30</v>
      </c>
      <c r="C315" s="3" t="s">
        <v>16</v>
      </c>
      <c r="D315" s="5">
        <v>47474</v>
      </c>
      <c r="E315" s="5">
        <v>47475</v>
      </c>
      <c r="F315" s="3">
        <v>2</v>
      </c>
      <c r="G315" s="4" t="s">
        <v>17</v>
      </c>
      <c r="H315" s="3" t="s">
        <v>18</v>
      </c>
      <c r="I315" s="6">
        <v>1544</v>
      </c>
      <c r="J315" s="6">
        <f>INDEX([1]Parámetros!$C$4:$C$10,MATCH(G315,[1]Parámetros!$A$4:$A$10,0))</f>
        <v>1500</v>
      </c>
      <c r="K315" s="7">
        <f t="shared" si="8"/>
        <v>1.0293333333333334</v>
      </c>
      <c r="L315" s="3" t="s">
        <v>19</v>
      </c>
      <c r="M315" s="3" t="str">
        <f>IF(L315="Sí","Atraso heredado",IF(K315&lt;[1]Parámetros!$E$13,"Adelantado",IF(K315&lt;=[1]Parámetros!$E$14,"En ventana ±10%","Fuera de ventana")))</f>
        <v>En ventana ±10%</v>
      </c>
      <c r="N315" s="3">
        <f t="shared" si="9"/>
        <v>2029</v>
      </c>
    </row>
    <row r="316" spans="1:14" x14ac:dyDescent="0.3">
      <c r="A316" s="3">
        <v>126</v>
      </c>
      <c r="B316" s="4" t="s">
        <v>44</v>
      </c>
      <c r="C316" s="3" t="s">
        <v>19</v>
      </c>
      <c r="D316" s="5">
        <v>47476</v>
      </c>
      <c r="E316" s="5">
        <v>47479</v>
      </c>
      <c r="F316" s="3">
        <v>4</v>
      </c>
      <c r="G316" s="4" t="s">
        <v>27</v>
      </c>
      <c r="H316" s="3" t="s">
        <v>28</v>
      </c>
      <c r="I316" s="6">
        <v>3197</v>
      </c>
      <c r="J316" s="6">
        <f>INDEX([1]Parámetros!$C$4:$C$10,MATCH(G316,[1]Parámetros!$A$4:$A$10,0))</f>
        <v>3000</v>
      </c>
      <c r="K316" s="7">
        <f t="shared" si="8"/>
        <v>1.0656666666666668</v>
      </c>
      <c r="L316" s="3" t="s">
        <v>19</v>
      </c>
      <c r="M316" s="3" t="str">
        <f>IF(L316="Sí","Atraso heredado",IF(K316&lt;[1]Parámetros!$E$13,"Adelantado",IF(K316&lt;=[1]Parámetros!$E$14,"En ventana ±10%","Fuera de ventana")))</f>
        <v>En ventana ±10%</v>
      </c>
      <c r="N316" s="3">
        <f t="shared" si="9"/>
        <v>2029</v>
      </c>
    </row>
    <row r="317" spans="1:14" x14ac:dyDescent="0.3">
      <c r="A317" s="3">
        <v>127</v>
      </c>
      <c r="B317" s="4" t="s">
        <v>39</v>
      </c>
      <c r="C317" s="3" t="s">
        <v>19</v>
      </c>
      <c r="D317" s="5">
        <v>47480</v>
      </c>
      <c r="E317" s="5">
        <v>47502</v>
      </c>
      <c r="F317" s="3">
        <v>23</v>
      </c>
      <c r="G317" s="4" t="s">
        <v>20</v>
      </c>
      <c r="H317" s="3" t="s">
        <v>21</v>
      </c>
      <c r="I317" s="6">
        <v>14645</v>
      </c>
      <c r="J317" s="6">
        <f>INDEX([1]Parámetros!$C$4:$C$10,MATCH(G317,[1]Parámetros!$A$4:$A$10,0))</f>
        <v>12000</v>
      </c>
      <c r="K317" s="7">
        <f t="shared" si="8"/>
        <v>1.2204166666666667</v>
      </c>
      <c r="L317" s="3" t="s">
        <v>19</v>
      </c>
      <c r="M317" s="3" t="str">
        <f>IF(L317="Sí","Atraso heredado",IF(K317&lt;[1]Parámetros!$E$13,"Adelantado",IF(K317&lt;=[1]Parámetros!$E$14,"En ventana ±10%","Fuera de ventana")))</f>
        <v>Fuera de ventana</v>
      </c>
      <c r="N317" s="3">
        <f t="shared" si="9"/>
        <v>2029</v>
      </c>
    </row>
    <row r="318" spans="1:14" x14ac:dyDescent="0.3">
      <c r="A318" s="3">
        <v>127</v>
      </c>
      <c r="B318" s="4" t="s">
        <v>39</v>
      </c>
      <c r="C318" s="3" t="s">
        <v>19</v>
      </c>
      <c r="D318" s="5">
        <v>47480</v>
      </c>
      <c r="E318" s="5">
        <v>47502</v>
      </c>
      <c r="F318" s="3">
        <v>23</v>
      </c>
      <c r="G318" s="4" t="s">
        <v>22</v>
      </c>
      <c r="H318" s="3" t="s">
        <v>23</v>
      </c>
      <c r="I318" s="6">
        <v>14645</v>
      </c>
      <c r="J318" s="6">
        <f>INDEX([1]Parámetros!$C$4:$C$10,MATCH(G318,[1]Parámetros!$A$4:$A$10,0))</f>
        <v>12000</v>
      </c>
      <c r="K318" s="7">
        <f t="shared" si="8"/>
        <v>1.2204166666666667</v>
      </c>
      <c r="L318" s="3" t="s">
        <v>19</v>
      </c>
      <c r="M318" s="3" t="str">
        <f>IF(L318="Sí","Atraso heredado",IF(K318&lt;[1]Parámetros!$E$13,"Adelantado",IF(K318&lt;=[1]Parámetros!$E$14,"En ventana ±10%","Fuera de ventana")))</f>
        <v>Fuera de ventana</v>
      </c>
      <c r="N318" s="3">
        <f t="shared" si="9"/>
        <v>2029</v>
      </c>
    </row>
    <row r="319" spans="1:14" x14ac:dyDescent="0.3">
      <c r="A319" s="3">
        <v>127</v>
      </c>
      <c r="B319" s="4" t="s">
        <v>39</v>
      </c>
      <c r="C319" s="3" t="s">
        <v>19</v>
      </c>
      <c r="D319" s="5">
        <v>47480</v>
      </c>
      <c r="E319" s="5">
        <v>47502</v>
      </c>
      <c r="F319" s="3">
        <v>23</v>
      </c>
      <c r="G319" s="4" t="s">
        <v>33</v>
      </c>
      <c r="H319" s="3" t="s">
        <v>34</v>
      </c>
      <c r="I319" s="6">
        <v>15379</v>
      </c>
      <c r="J319" s="6">
        <f>INDEX([1]Parámetros!$C$4:$C$10,MATCH(G319,[1]Parámetros!$A$4:$A$10,0))</f>
        <v>12000</v>
      </c>
      <c r="K319" s="7">
        <f t="shared" si="8"/>
        <v>1.2815833333333333</v>
      </c>
      <c r="L319" s="3" t="s">
        <v>19</v>
      </c>
      <c r="M319" s="3" t="str">
        <f>IF(L319="Sí","Atraso heredado",IF(K319&lt;[1]Parámetros!$E$13,"Adelantado",IF(K319&lt;=[1]Parámetros!$E$14,"En ventana ±10%","Fuera de ventana")))</f>
        <v>Fuera de ventana</v>
      </c>
      <c r="N319" s="3">
        <f t="shared" si="9"/>
        <v>2029</v>
      </c>
    </row>
    <row r="320" spans="1:14" x14ac:dyDescent="0.3">
      <c r="A320" s="3">
        <v>127</v>
      </c>
      <c r="B320" s="4" t="s">
        <v>39</v>
      </c>
      <c r="C320" s="3" t="s">
        <v>19</v>
      </c>
      <c r="D320" s="5">
        <v>47480</v>
      </c>
      <c r="E320" s="5">
        <v>47502</v>
      </c>
      <c r="F320" s="3">
        <v>23</v>
      </c>
      <c r="G320" s="4" t="s">
        <v>24</v>
      </c>
      <c r="H320" s="3" t="s">
        <v>25</v>
      </c>
      <c r="I320" s="6">
        <v>23738</v>
      </c>
      <c r="J320" s="6">
        <f>INDEX([1]Parámetros!$C$4:$C$10,MATCH(G320,[1]Parámetros!$A$4:$A$10,0))</f>
        <v>24000</v>
      </c>
      <c r="K320" s="7">
        <f t="shared" si="8"/>
        <v>0.98908333333333331</v>
      </c>
      <c r="L320" s="3" t="s">
        <v>19</v>
      </c>
      <c r="M320" s="3" t="str">
        <f>IF(L320="Sí","Atraso heredado",IF(K320&lt;[1]Parámetros!$E$13,"Adelantado",IF(K320&lt;=[1]Parámetros!$E$14,"En ventana ±10%","Fuera de ventana")))</f>
        <v>En ventana ±10%</v>
      </c>
      <c r="N320" s="3">
        <f t="shared" si="9"/>
        <v>2029</v>
      </c>
    </row>
    <row r="321" spans="1:14" x14ac:dyDescent="0.3">
      <c r="A321" s="3">
        <v>127</v>
      </c>
      <c r="B321" s="4" t="s">
        <v>39</v>
      </c>
      <c r="C321" s="3" t="s">
        <v>19</v>
      </c>
      <c r="D321" s="5">
        <v>47480</v>
      </c>
      <c r="E321" s="5">
        <v>47502</v>
      </c>
      <c r="F321" s="3">
        <v>23</v>
      </c>
      <c r="G321" s="4" t="s">
        <v>27</v>
      </c>
      <c r="H321" s="3" t="s">
        <v>28</v>
      </c>
      <c r="I321" s="6">
        <v>6026</v>
      </c>
      <c r="J321" s="6">
        <f>INDEX([1]Parámetros!$C$4:$C$10,MATCH(G321,[1]Parámetros!$A$4:$A$10,0))</f>
        <v>3000</v>
      </c>
      <c r="K321" s="7">
        <f t="shared" si="8"/>
        <v>2.0086666666666666</v>
      </c>
      <c r="L321" s="3" t="s">
        <v>19</v>
      </c>
      <c r="M321" s="3" t="str">
        <f>IF(L321="Sí","Atraso heredado",IF(K321&lt;[1]Parámetros!$E$13,"Adelantado",IF(K321&lt;=[1]Parámetros!$E$14,"En ventana ±10%","Fuera de ventana")))</f>
        <v>Fuera de ventana</v>
      </c>
      <c r="N321" s="3">
        <f t="shared" si="9"/>
        <v>2029</v>
      </c>
    </row>
  </sheetData>
  <autoFilter ref="A3:N321" xr:uid="{00000000-0009-0000-0000-000007000000}"/>
  <conditionalFormatting sqref="M4:M321">
    <cfRule type="cellIs" dxfId="3" priority="1" operator="equal">
      <formula>"Fuera de ventana"</formula>
    </cfRule>
    <cfRule type="cellIs" dxfId="2" priority="2" operator="equal">
      <formula>"Atraso heredado"</formula>
    </cfRule>
    <cfRule type="cellIs" dxfId="1" priority="3" operator="equal">
      <formula>"En ventana ±10%"</formula>
    </cfRule>
    <cfRule type="cellIs" dxfId="0" priority="4" operator="equal">
      <formula>"Adelantado"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Plan_FP90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O Trejo</dc:creator>
  <cp:lastModifiedBy>Luigi O Trejo</cp:lastModifiedBy>
  <dcterms:created xsi:type="dcterms:W3CDTF">2026-10-01T16:08:23Z</dcterms:created>
  <dcterms:modified xsi:type="dcterms:W3CDTF">2026-10-01T16:09:32Z</dcterms:modified>
</cp:coreProperties>
</file>